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xport\"/>
    </mc:Choice>
  </mc:AlternateContent>
  <xr:revisionPtr revIDLastSave="0" documentId="13_ncr:1_{A8510FA0-BE11-4E78-8208-2556D0721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TOP" sheetId="1" r:id="rId1"/>
  </sheets>
  <externalReferences>
    <externalReference r:id="rId2"/>
  </externalReferences>
  <definedNames>
    <definedName name="_xlnm._FilterDatabase" localSheetId="0" hidden="1">LAPTOP!$A$1:$N$521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L53" i="1"/>
  <c r="K54" i="1"/>
  <c r="L54" i="1"/>
  <c r="K71" i="1"/>
  <c r="L71" i="1"/>
  <c r="K74" i="1"/>
  <c r="L74" i="1"/>
  <c r="K77" i="1"/>
  <c r="L77" i="1"/>
  <c r="K78" i="1"/>
  <c r="L78" i="1"/>
  <c r="K79" i="1"/>
  <c r="L79" i="1"/>
  <c r="K80" i="1"/>
  <c r="L80" i="1"/>
  <c r="K91" i="1"/>
  <c r="L91" i="1"/>
  <c r="K87" i="1"/>
  <c r="L87" i="1"/>
  <c r="K92" i="1"/>
  <c r="L92" i="1"/>
  <c r="K93" i="1"/>
  <c r="L93" i="1"/>
  <c r="K94" i="1"/>
  <c r="L94" i="1"/>
  <c r="K95" i="1"/>
  <c r="L95" i="1"/>
  <c r="K96" i="1"/>
  <c r="L96" i="1"/>
  <c r="K97" i="1"/>
  <c r="L97" i="1"/>
  <c r="K88" i="1"/>
  <c r="L88" i="1"/>
  <c r="K89" i="1"/>
  <c r="L89" i="1"/>
  <c r="K90" i="1"/>
  <c r="L90" i="1"/>
  <c r="K86" i="1"/>
  <c r="L86" i="1"/>
  <c r="K163" i="1"/>
  <c r="L163" i="1"/>
  <c r="K119" i="1"/>
  <c r="L119" i="1"/>
  <c r="K162" i="1"/>
  <c r="L162" i="1"/>
  <c r="K177" i="1"/>
  <c r="L177" i="1"/>
  <c r="K165" i="1"/>
  <c r="L165" i="1"/>
  <c r="K178" i="1"/>
  <c r="L178" i="1"/>
  <c r="K179" i="1"/>
  <c r="L179" i="1"/>
  <c r="K188" i="1"/>
  <c r="L188" i="1"/>
  <c r="K189" i="1"/>
  <c r="L189" i="1"/>
  <c r="K190" i="1"/>
  <c r="L190" i="1"/>
  <c r="K191" i="1"/>
  <c r="L191" i="1"/>
  <c r="K204" i="1"/>
  <c r="L204" i="1"/>
  <c r="K213" i="1"/>
  <c r="L213" i="1"/>
  <c r="K214" i="1"/>
  <c r="L214" i="1"/>
  <c r="K215" i="1"/>
  <c r="L215" i="1"/>
  <c r="K216" i="1"/>
  <c r="L216" i="1"/>
  <c r="K283" i="1"/>
  <c r="L283" i="1"/>
  <c r="K287" i="1"/>
  <c r="L287" i="1"/>
  <c r="K288" i="1"/>
  <c r="L288" i="1"/>
  <c r="K289" i="1"/>
  <c r="L289" i="1"/>
  <c r="K353" i="1"/>
  <c r="L353" i="1"/>
  <c r="K356" i="1"/>
  <c r="L356" i="1"/>
  <c r="K387" i="1"/>
  <c r="L387" i="1"/>
  <c r="K388" i="1"/>
  <c r="L388" i="1"/>
  <c r="K403" i="1"/>
  <c r="L403" i="1"/>
  <c r="K404" i="1"/>
  <c r="L404" i="1"/>
  <c r="K422" i="1"/>
  <c r="L422" i="1"/>
  <c r="K437" i="1"/>
  <c r="L437" i="1"/>
  <c r="K438" i="1"/>
  <c r="L438" i="1"/>
  <c r="K439" i="1"/>
  <c r="L439" i="1"/>
  <c r="K447" i="1"/>
  <c r="L447" i="1"/>
  <c r="K448" i="1"/>
  <c r="L448" i="1"/>
  <c r="K457" i="1"/>
  <c r="L457" i="1"/>
  <c r="K458" i="1"/>
  <c r="L458" i="1"/>
</calcChain>
</file>

<file path=xl/sharedStrings.xml><?xml version="1.0" encoding="utf-8"?>
<sst xmlns="http://schemas.openxmlformats.org/spreadsheetml/2006/main" count="4933" uniqueCount="976">
  <si>
    <t/>
  </si>
  <si>
    <t>SANVKD003072437</t>
  </si>
  <si>
    <t>AES_VASTRAPUR</t>
  </si>
  <si>
    <t>T7NVCX01F51631E</t>
  </si>
  <si>
    <t>BYD-D</t>
  </si>
  <si>
    <t>T8NVCX015915326</t>
  </si>
  <si>
    <t>VST-D</t>
  </si>
  <si>
    <t>T8NVCX01594432H</t>
  </si>
  <si>
    <t>T8NVCX01595432H</t>
  </si>
  <si>
    <t>AES_MANINAGAR</t>
  </si>
  <si>
    <t>T8NVCX016007326</t>
  </si>
  <si>
    <t>MNG-D</t>
  </si>
  <si>
    <t>T8NVCX0160101327</t>
  </si>
  <si>
    <t>AES_BHUYANGDEV</t>
  </si>
  <si>
    <t>T8NVCX01601032B</t>
  </si>
  <si>
    <t>T8NVCX01602432A</t>
  </si>
  <si>
    <t>KRN-D</t>
  </si>
  <si>
    <t>T8NVCX01607332A</t>
  </si>
  <si>
    <t>AES_CHANDKHEDA</t>
  </si>
  <si>
    <t>T8NVCX01607432B</t>
  </si>
  <si>
    <t>T8NVCX016086328</t>
  </si>
  <si>
    <t>T8NVCX016090323</t>
  </si>
  <si>
    <t>GTA-D</t>
  </si>
  <si>
    <t>T8NVCX01611032C</t>
  </si>
  <si>
    <t>VTR-D</t>
  </si>
  <si>
    <t>T8NVCX01611432C</t>
  </si>
  <si>
    <t>T7N0CV14M890305</t>
  </si>
  <si>
    <t>T7N0CV14M90530B</t>
  </si>
  <si>
    <t>T7N0CV16E357308</t>
  </si>
  <si>
    <t>T7N0CV16E441307</t>
  </si>
  <si>
    <t>TCN0CV168319524</t>
  </si>
  <si>
    <t>AES_KRISHNANAGAR</t>
  </si>
  <si>
    <t>TCN0CV16832052D</t>
  </si>
  <si>
    <t>TCN0CV163872529</t>
  </si>
  <si>
    <t>TCN0CV16389552E</t>
  </si>
  <si>
    <t>W1N0RJ00032304D</t>
  </si>
  <si>
    <t>W1N0RJ00039304C</t>
  </si>
  <si>
    <t>W1N0RJ002849037</t>
  </si>
  <si>
    <t>WIN0RJ000437042</t>
  </si>
  <si>
    <t>WIN0RJ00067304С</t>
  </si>
  <si>
    <t>W1NRKD00251101G</t>
  </si>
  <si>
    <t>W1NRKD00268301D</t>
  </si>
  <si>
    <t>W1NRKD002733012</t>
  </si>
  <si>
    <t>W1NRKD00281501D</t>
  </si>
  <si>
    <t>W1NRKD002817018</t>
  </si>
  <si>
    <t>W1NRKD002853019</t>
  </si>
  <si>
    <t>S7NRKD00395529A</t>
  </si>
  <si>
    <t>S7NRKD004087290</t>
  </si>
  <si>
    <t>T7NRCX053845302</t>
  </si>
  <si>
    <t>TANRCX02D42842G</t>
  </si>
  <si>
    <t>TBNRCX01932546D</t>
  </si>
  <si>
    <t>CGR-D</t>
  </si>
  <si>
    <t>TBNRCX019329468</t>
  </si>
  <si>
    <t>TBNRCX019338462</t>
  </si>
  <si>
    <t>CHK-D</t>
  </si>
  <si>
    <t>TBNRCX019091464</t>
  </si>
  <si>
    <t>TBNRCX019237462</t>
  </si>
  <si>
    <t>TBNRCX032562476</t>
  </si>
  <si>
    <t>TBNRCX032634476</t>
  </si>
  <si>
    <t>TBNRCX03273347C</t>
  </si>
  <si>
    <t>TBNRCX032823475</t>
  </si>
  <si>
    <t>TCNRCX03M030525</t>
  </si>
  <si>
    <t>TCNRCX03583952A</t>
  </si>
  <si>
    <t>TCNRCX03584152C</t>
  </si>
  <si>
    <t>TANRKD00J949414</t>
  </si>
  <si>
    <t>TANRKD00K039419</t>
  </si>
  <si>
    <t>TANRKD00W63442E</t>
  </si>
  <si>
    <t>AES_GOTA</t>
  </si>
  <si>
    <t>TANRKD00W781428</t>
  </si>
  <si>
    <t>TANRKD013021428</t>
  </si>
  <si>
    <t>TANRKD013172429</t>
  </si>
  <si>
    <t>TANRKD01322542B</t>
  </si>
  <si>
    <t>TANRKD013512426</t>
  </si>
  <si>
    <t>TANRKD01365542D</t>
  </si>
  <si>
    <t>TANRKD01241242A</t>
  </si>
  <si>
    <t>TANRKD016776427</t>
  </si>
  <si>
    <t>TANRKD016785429</t>
  </si>
  <si>
    <t>TANRKD017017422</t>
  </si>
  <si>
    <t>TANRKD017129428</t>
  </si>
  <si>
    <t>TANRKD017438427</t>
  </si>
  <si>
    <t>TANRKD01752942E</t>
  </si>
  <si>
    <t>TANRKD017536422</t>
  </si>
  <si>
    <t>TANRKD017574428</t>
  </si>
  <si>
    <t>TANRKD01C209426</t>
  </si>
  <si>
    <t>TANRKD01C229428</t>
  </si>
  <si>
    <t>TANRKD01C247428</t>
  </si>
  <si>
    <t>TANRKD01C45042A</t>
  </si>
  <si>
    <t>TANRKD01C48242E</t>
  </si>
  <si>
    <t>TANRKD01C561424</t>
  </si>
  <si>
    <t>TANRKD01C58842C</t>
  </si>
  <si>
    <t>TANRKD01C695427</t>
  </si>
  <si>
    <t>TANRKD01C74642F</t>
  </si>
  <si>
    <t>T9NRKD021713397</t>
  </si>
  <si>
    <t>TANRKD00524543C</t>
  </si>
  <si>
    <t>TANRKD005268433</t>
  </si>
  <si>
    <t>TANRKD005513424</t>
  </si>
  <si>
    <t>TANRKD005521426</t>
  </si>
  <si>
    <t>TBNRKD003357489</t>
  </si>
  <si>
    <t>TBNRKD003776487</t>
  </si>
  <si>
    <t>TBNRKD004342487</t>
  </si>
  <si>
    <t>TBNRKD00442248A</t>
  </si>
  <si>
    <t>TBNRKD004507488</t>
  </si>
  <si>
    <t>TBNRKD004533489</t>
  </si>
  <si>
    <t>T4NRKD00T02315C</t>
  </si>
  <si>
    <t>T4NRKD00E807174</t>
  </si>
  <si>
    <t>T5NRKD01Y595206</t>
  </si>
  <si>
    <t>T5NRKD01Z700207</t>
  </si>
  <si>
    <t>T5NRKD02021920H</t>
  </si>
  <si>
    <t>T5NRKD02027820F</t>
  </si>
  <si>
    <t>T5NRKD020406203</t>
  </si>
  <si>
    <t>TANRKD00639841C</t>
  </si>
  <si>
    <t>TANRKD00K87141A</t>
  </si>
  <si>
    <t>TANRKD00K874417</t>
  </si>
  <si>
    <t>TANRKD00K887412</t>
  </si>
  <si>
    <t>TANRKD00K896412</t>
  </si>
  <si>
    <t>T4NRKD00U815179</t>
  </si>
  <si>
    <t>T6NRKD00B641266</t>
  </si>
  <si>
    <t>T6NRKD00B660266</t>
  </si>
  <si>
    <t>TANRKD00246343C</t>
  </si>
  <si>
    <t>TANRKD002480438</t>
  </si>
  <si>
    <t>TANRKD00539541C</t>
  </si>
  <si>
    <t>TANRKD005418416</t>
  </si>
  <si>
    <t>TANRKD005470416</t>
  </si>
  <si>
    <t>TANRKD00C305449</t>
  </si>
  <si>
    <t>TANRKD00R797444</t>
  </si>
  <si>
    <t>TBNRKD00B363478</t>
  </si>
  <si>
    <t>W1NRKD00997501A</t>
  </si>
  <si>
    <t>W1NRKD00998001E</t>
  </si>
  <si>
    <t>W1NRKD00A01101E</t>
  </si>
  <si>
    <t>W1NRKD00A01401A</t>
  </si>
  <si>
    <t>TANRKD00F296418</t>
  </si>
  <si>
    <t>TANRKD00F494419</t>
  </si>
  <si>
    <t>TANRKD00F546417</t>
  </si>
  <si>
    <t>TANRKD00F55441C</t>
  </si>
  <si>
    <t>TANRKD00F68441H</t>
  </si>
  <si>
    <t>TANRKD00F712418</t>
  </si>
  <si>
    <t>TANRKD00F71541G</t>
  </si>
  <si>
    <t>TANRKD00F742416</t>
  </si>
  <si>
    <t>TANRKD00F785419</t>
  </si>
  <si>
    <t>TANRKD00H28941E</t>
  </si>
  <si>
    <t>T8NRKD00316735B</t>
  </si>
  <si>
    <t>T8NRKD003172355</t>
  </si>
  <si>
    <t>T8NRKD00Z56633A</t>
  </si>
  <si>
    <t>T8NRKD00Z594331</t>
  </si>
  <si>
    <t>T4NRKD00J577168</t>
  </si>
  <si>
    <t>T4NRKD00J63116G</t>
  </si>
  <si>
    <t>T4NRKD00J849169</t>
  </si>
  <si>
    <t>T4NRKD00J90316B</t>
  </si>
  <si>
    <t>T4NRKD010036169</t>
  </si>
  <si>
    <t>T4NRKD010132162</t>
  </si>
  <si>
    <t>T5NRKD02248221A</t>
  </si>
  <si>
    <t>T5NRKD02V486216</t>
  </si>
  <si>
    <t>T5NRKD02V487212</t>
  </si>
  <si>
    <t>T5NRKD02V496215</t>
  </si>
  <si>
    <t>T5NRKD02V68921A</t>
  </si>
  <si>
    <t>R2NRKD007113076</t>
  </si>
  <si>
    <t>T5NRKD02633421B</t>
  </si>
  <si>
    <t>T5NRKD02637221A</t>
  </si>
  <si>
    <t>R5NRKD002525209</t>
  </si>
  <si>
    <t>R5NRKD002527202</t>
  </si>
  <si>
    <t>R5NRKD002531207</t>
  </si>
  <si>
    <t>R5NRKD00253520G</t>
  </si>
  <si>
    <t>R5NRKD002537200</t>
  </si>
  <si>
    <t>R5NRKD00254020B</t>
  </si>
  <si>
    <t>R5NRKD00254120G</t>
  </si>
  <si>
    <t>R5NRKD00254520C</t>
  </si>
  <si>
    <t>R5NRKD00254620A</t>
  </si>
  <si>
    <t>R5NRKD00254820C</t>
  </si>
  <si>
    <t>T9NRKD01B33637E</t>
  </si>
  <si>
    <t>T9NRKD01X48838B</t>
  </si>
  <si>
    <t>M7NRKD037254296</t>
  </si>
  <si>
    <t>N5NRKD018017202</t>
  </si>
  <si>
    <t>N5NRKD01805020G</t>
  </si>
  <si>
    <t>N5NRKD018067202</t>
  </si>
  <si>
    <t>N5NRKD025763209</t>
  </si>
  <si>
    <t>T6NRCX02S50324A</t>
  </si>
  <si>
    <t>TANRCX00N707418</t>
  </si>
  <si>
    <t>TANRCX00N729419</t>
  </si>
  <si>
    <t>TANRCX00N760419</t>
  </si>
  <si>
    <t>TBNRCX03855047A</t>
  </si>
  <si>
    <t>TBNRCX038567472</t>
  </si>
  <si>
    <t>TBNRCX03858247F</t>
  </si>
  <si>
    <t>TBNRCX03860447D</t>
  </si>
  <si>
    <t>TBNRCX03875047D</t>
  </si>
  <si>
    <t>TBNRCX038869476</t>
  </si>
  <si>
    <t>TBNRCX038893479</t>
  </si>
  <si>
    <t>TBNRCX038947475</t>
  </si>
  <si>
    <t>TBNRCX03895347C</t>
  </si>
  <si>
    <t>TBNRCX03896547E</t>
  </si>
  <si>
    <t>TCNRCX03783052A</t>
  </si>
  <si>
    <t>N5NRCX01H706196</t>
  </si>
  <si>
    <t>S6NRCX05P574268</t>
  </si>
  <si>
    <t>S7NRCX08J010306</t>
  </si>
  <si>
    <t>N6NRKD00124124E</t>
  </si>
  <si>
    <t>N5NRKD007888194</t>
  </si>
  <si>
    <t>T9N0CX01V911381</t>
  </si>
  <si>
    <t>T9N0CX01V93338A</t>
  </si>
  <si>
    <t>R3N0CX00L25610D</t>
  </si>
  <si>
    <t>R9N0CX04P089378</t>
  </si>
  <si>
    <t>T8N0CX01C604348</t>
  </si>
  <si>
    <t>T8N0CX01C65434B</t>
  </si>
  <si>
    <t>T8N0CX01C678347</t>
  </si>
  <si>
    <t>T8N0CX01D06934C</t>
  </si>
  <si>
    <t>T8N0CX01D08334G</t>
  </si>
  <si>
    <t>T8N0CX01D19734B</t>
  </si>
  <si>
    <t>T8N0CX01D21734G</t>
  </si>
  <si>
    <t>N4N0CV12824817A</t>
  </si>
  <si>
    <t>S9N0CX034658379</t>
  </si>
  <si>
    <t>S9N0CX034709376</t>
  </si>
  <si>
    <t>S9N0CX034732377</t>
  </si>
  <si>
    <t>S9N0CX03474737E</t>
  </si>
  <si>
    <t>M3N0CX07J15211C</t>
  </si>
  <si>
    <t>T9N0KD006874398</t>
  </si>
  <si>
    <t>T9N0KD00690239F</t>
  </si>
  <si>
    <t>T9N0KD00696139A</t>
  </si>
  <si>
    <t>T9N0KD00701039G</t>
  </si>
  <si>
    <t>T9N0KD007025395</t>
  </si>
  <si>
    <t>T9N0KD00708339F</t>
  </si>
  <si>
    <t>T9N0KD007107397</t>
  </si>
  <si>
    <t>T9N0KD00714139H</t>
  </si>
  <si>
    <t>T9N0KD00716839E</t>
  </si>
  <si>
    <t>T9N0KD007187392</t>
  </si>
  <si>
    <t>T8N0KD00173835B</t>
  </si>
  <si>
    <t>T7N0KD007965317</t>
  </si>
  <si>
    <t>T7N0KD00798131G</t>
  </si>
  <si>
    <t>T7N0KD00803231C</t>
  </si>
  <si>
    <t>T7N0KD008459317</t>
  </si>
  <si>
    <t>T7N0KD00966931A</t>
  </si>
  <si>
    <t>T8N0KD00A29732D</t>
  </si>
  <si>
    <t>T9N0KD00086038F</t>
  </si>
  <si>
    <t>T9N0KD000900385</t>
  </si>
  <si>
    <t>T9N0KD00090938E</t>
  </si>
  <si>
    <t>TCN0KD007914506</t>
  </si>
  <si>
    <t>TCN0KD000020509</t>
  </si>
  <si>
    <t>TBN0KD006095458</t>
  </si>
  <si>
    <t>TBN0KD007849464</t>
  </si>
  <si>
    <t>TBN0KD00788046D</t>
  </si>
  <si>
    <t>TBN0KD00790246A</t>
  </si>
  <si>
    <t>TBN0KD00886446B</t>
  </si>
  <si>
    <t>TBN0KD00886546A</t>
  </si>
  <si>
    <t>TBN0KD00887246A</t>
  </si>
  <si>
    <t>TBN0KD00887446G</t>
  </si>
  <si>
    <t>TBN0KD00888146A</t>
  </si>
  <si>
    <t>TBN0KD008885460</t>
  </si>
  <si>
    <t>TBN0KD008937462</t>
  </si>
  <si>
    <t>TBN0KD008962469</t>
  </si>
  <si>
    <t>T5N0CX03M11120A</t>
  </si>
  <si>
    <t>T7N0CX01V753284</t>
  </si>
  <si>
    <t>T7N0CX01V82928A</t>
  </si>
  <si>
    <t>T7N0CX01V86128C</t>
  </si>
  <si>
    <t>T7N0CX01V88628A</t>
  </si>
  <si>
    <t>T7N0CX01V901287</t>
  </si>
  <si>
    <t>T7N0CX01V902281</t>
  </si>
  <si>
    <t>T7N0CX01V90428H</t>
  </si>
  <si>
    <t>T4N0CX00V42314G</t>
  </si>
  <si>
    <t>T4N0CX00V48614H</t>
  </si>
  <si>
    <t>T4N0CX05707117C</t>
  </si>
  <si>
    <t>T6N0CX02D146248</t>
  </si>
  <si>
    <t>T7N0CX03T761294</t>
  </si>
  <si>
    <t>T6N0CX038629253</t>
  </si>
  <si>
    <t>S7N0CX042643283</t>
  </si>
  <si>
    <t>S7N0CX05U100290</t>
  </si>
  <si>
    <t>S7N0CX05U118296</t>
  </si>
  <si>
    <t>S7N0CX05U17929F</t>
  </si>
  <si>
    <t>S7N0CX05U19429G</t>
  </si>
  <si>
    <t>S7N0CX05U242293</t>
  </si>
  <si>
    <t>S7N0CX05U263296</t>
  </si>
  <si>
    <t>S7N0CX05U295295</t>
  </si>
  <si>
    <t>S7N0CX05U301298</t>
  </si>
  <si>
    <t>S7N0CX05U321297</t>
  </si>
  <si>
    <t>S7N0CX05U324297</t>
  </si>
  <si>
    <t>S7N0CX05U328295</t>
  </si>
  <si>
    <t>S7N0CX05U331297</t>
  </si>
  <si>
    <t>S7N0CX05U337294</t>
  </si>
  <si>
    <t>S7N0CX05U344298</t>
  </si>
  <si>
    <t>S8N0KD006214317</t>
  </si>
  <si>
    <t>S8N0KD006233317</t>
  </si>
  <si>
    <t>S8N0KD00644631H</t>
  </si>
  <si>
    <t>T5N0LP00531720C</t>
  </si>
  <si>
    <t>T5N0LP005511207</t>
  </si>
  <si>
    <t>T6N0LP009932243</t>
  </si>
  <si>
    <t>T6N0LP00A137240</t>
  </si>
  <si>
    <t>T6N0LP00J737262</t>
  </si>
  <si>
    <t>T6N0LP00J77026E</t>
  </si>
  <si>
    <t>T6N0LP00529023G</t>
  </si>
  <si>
    <t>T6N0LP005354235</t>
  </si>
  <si>
    <t>T6N0LP00538823D</t>
  </si>
  <si>
    <t>T6N0LP00542323C</t>
  </si>
  <si>
    <t>T6N0LP00554023G</t>
  </si>
  <si>
    <t>T6N0LP006557248</t>
  </si>
  <si>
    <t>TAN0CV02Y105415</t>
  </si>
  <si>
    <t>TAN0CV02Y382418</t>
  </si>
  <si>
    <t>T1N0CV01B03601F</t>
  </si>
  <si>
    <t>T1N0CV01Z028016</t>
  </si>
  <si>
    <t>T1N0CV01Z038019</t>
  </si>
  <si>
    <t>T1N0CV01Z046015</t>
  </si>
  <si>
    <t>T1N0CV01Z04801B</t>
  </si>
  <si>
    <t>T1N0CV01Z069015</t>
  </si>
  <si>
    <t>T1N0CV01Z07301B</t>
  </si>
  <si>
    <t>T1N0CV01Z07601H</t>
  </si>
  <si>
    <t>T1N0CV01Z095019</t>
  </si>
  <si>
    <t>T1N0CV01Z19001G</t>
  </si>
  <si>
    <t>T1N0CV01Z207016</t>
  </si>
  <si>
    <t>T4N0CV04Z380159</t>
  </si>
  <si>
    <t>W1N0KD00694202E</t>
  </si>
  <si>
    <t>W1N0KD000570037</t>
  </si>
  <si>
    <t>N1N0CV09L523028</t>
  </si>
  <si>
    <t>T9N0CX01X42038D</t>
  </si>
  <si>
    <t>T9N0CX014492377</t>
  </si>
  <si>
    <t>T9N0CX01449737C</t>
  </si>
  <si>
    <t>T9N0CX01454037C</t>
  </si>
  <si>
    <t>T9N0CX01491737B</t>
  </si>
  <si>
    <t>SCN0CX014407493</t>
  </si>
  <si>
    <t>T9N0CX011692379</t>
  </si>
  <si>
    <t>T9N0CX01170537E</t>
  </si>
  <si>
    <t>T3N0CX06D725132</t>
  </si>
  <si>
    <t>T3N0CX06D75813A</t>
  </si>
  <si>
    <t>T9N0CX02P367396</t>
  </si>
  <si>
    <t>T9N0CX02P374398</t>
  </si>
  <si>
    <t>T9N0CX02P39539G</t>
  </si>
  <si>
    <t>S8N0CX12856435G</t>
  </si>
  <si>
    <t>S5N0CX07W283213</t>
  </si>
  <si>
    <t>T2N0KD000673053</t>
  </si>
  <si>
    <t>T2N0KD00069905F</t>
  </si>
  <si>
    <t>T2N0KD00083805B</t>
  </si>
  <si>
    <t>T2N0KD00084005E</t>
  </si>
  <si>
    <t>T2N0KD00085705G</t>
  </si>
  <si>
    <t>T2N0KD00100805F</t>
  </si>
  <si>
    <t>T2N0KD00E81707B</t>
  </si>
  <si>
    <t>T3N0KD008690131</t>
  </si>
  <si>
    <t>T3N0KD00880413F</t>
  </si>
  <si>
    <t>T3N0KD008884131</t>
  </si>
  <si>
    <t>T3N0KD00889313B</t>
  </si>
  <si>
    <t>T3N0KD009159132</t>
  </si>
  <si>
    <t>T3N0KD009833134</t>
  </si>
  <si>
    <t>T3N0KD00989013D</t>
  </si>
  <si>
    <t>T3N0KD00X85511B</t>
  </si>
  <si>
    <t>S2N0CV07L005086</t>
  </si>
  <si>
    <t>R3N0CV11860112A</t>
  </si>
  <si>
    <t>R4N0CV11B260167</t>
  </si>
  <si>
    <t>R4N0CV11B293160</t>
  </si>
  <si>
    <t>R4N0CV11B34516C</t>
  </si>
  <si>
    <t>R4N0CV11B507164</t>
  </si>
  <si>
    <t>R4N0CV02A194140</t>
  </si>
  <si>
    <t>S8N0KD009316347</t>
  </si>
  <si>
    <t>S9N0KD00642936D</t>
  </si>
  <si>
    <t>S9N0KD006433394</t>
  </si>
  <si>
    <t>S9N0KD00908539C</t>
  </si>
  <si>
    <t>W1N0KD00225203C</t>
  </si>
  <si>
    <t>W1N0KD00241003C</t>
  </si>
  <si>
    <t>SAN0KD00067344F</t>
  </si>
  <si>
    <t>SBN0KD00150446B</t>
  </si>
  <si>
    <t>SBN0KD00150646H</t>
  </si>
  <si>
    <t>SBN0KD001517462</t>
  </si>
  <si>
    <t>SBN0KD002685448</t>
  </si>
  <si>
    <t>SBN0KD002697442</t>
  </si>
  <si>
    <t>SBN0KD002708446</t>
  </si>
  <si>
    <t>SBN0KD002715448</t>
  </si>
  <si>
    <t>T1N0KD004170019</t>
  </si>
  <si>
    <t>T1N0KD00894202E</t>
  </si>
  <si>
    <t>T7N0KD00263627A</t>
  </si>
  <si>
    <t>T7N0KD005759298</t>
  </si>
  <si>
    <t>T7N0KD005761294</t>
  </si>
  <si>
    <t>T7N0KD005762296</t>
  </si>
  <si>
    <t>T7N0KD00576629A</t>
  </si>
  <si>
    <t>SBN0KD00154046D</t>
  </si>
  <si>
    <t>SBN0KD003981456</t>
  </si>
  <si>
    <t>S6N0CV089487248</t>
  </si>
  <si>
    <t>T6N0CV090838248</t>
  </si>
  <si>
    <t>T7N0CV11217429H</t>
  </si>
  <si>
    <t>T7N0CV112205295</t>
  </si>
  <si>
    <t>T7N0CV112252295</t>
  </si>
  <si>
    <t>T7N0CV04L029284</t>
  </si>
  <si>
    <t>T7N0CV04L05428C</t>
  </si>
  <si>
    <t>T7N0CV16K935309</t>
  </si>
  <si>
    <t>T7N0CV16K957305</t>
  </si>
  <si>
    <t>T7N0CV16K961302</t>
  </si>
  <si>
    <t>T7N0CV16L007300</t>
  </si>
  <si>
    <t>T7N0CV16L067300</t>
  </si>
  <si>
    <t>T7N0CV16L150305</t>
  </si>
  <si>
    <t>T7N0CV16L15330B</t>
  </si>
  <si>
    <t>T9N0CV12T72438D</t>
  </si>
  <si>
    <t>TBN0CV10H787478</t>
  </si>
  <si>
    <t>T6N0CV11743925A</t>
  </si>
  <si>
    <t>T6N0CV117468252</t>
  </si>
  <si>
    <t>T7N0CV18324431H</t>
  </si>
  <si>
    <t>T7N0CV18334831D</t>
  </si>
  <si>
    <t>T8N0CV09Z80834B</t>
  </si>
  <si>
    <t>T2N0CV10Y723096</t>
  </si>
  <si>
    <t>T3N0CV10141012B</t>
  </si>
  <si>
    <t>T6N0CV15K80925B</t>
  </si>
  <si>
    <t>T6N0CV15K84425A</t>
  </si>
  <si>
    <t>T6N0CV15L042259</t>
  </si>
  <si>
    <t>T9N0CV17F03339A</t>
  </si>
  <si>
    <t>T9N0CV17F036397</t>
  </si>
  <si>
    <t>T9N0CV17F041396</t>
  </si>
  <si>
    <t>T9N0CV17F079397</t>
  </si>
  <si>
    <t>T9N0CV17F110395</t>
  </si>
  <si>
    <t>T9N0CV17F11639F</t>
  </si>
  <si>
    <t>T7N0CX050298303</t>
  </si>
  <si>
    <t>T7N0CX050303307</t>
  </si>
  <si>
    <t>T7N0CX050376303</t>
  </si>
  <si>
    <t>T7N0CX05038430A</t>
  </si>
  <si>
    <t>T7N0CX05046630C</t>
  </si>
  <si>
    <t>T7N0CX050475308</t>
  </si>
  <si>
    <t>T7N0CX050494304</t>
  </si>
  <si>
    <t>T7N0CX05056430A</t>
  </si>
  <si>
    <t>T7N0CX05059930C</t>
  </si>
  <si>
    <t>T7N0CX05060030G</t>
  </si>
  <si>
    <t>T7N0CX050651308</t>
  </si>
  <si>
    <t>T7N0CX05076630A</t>
  </si>
  <si>
    <t>T7N0CX050913305</t>
  </si>
  <si>
    <t>T7N0CX050927306</t>
  </si>
  <si>
    <t>T7N0CX050951309</t>
  </si>
  <si>
    <t>T7N0CX050952309</t>
  </si>
  <si>
    <t>T7N0CX050991309</t>
  </si>
  <si>
    <t>T7N0CX051007300</t>
  </si>
  <si>
    <t>T7N0CX05561630G</t>
  </si>
  <si>
    <t>TBN0CX01Y064477</t>
  </si>
  <si>
    <t>T7N0CX04C54130C</t>
  </si>
  <si>
    <t>T7N0CX04C55430H</t>
  </si>
  <si>
    <t>T7N0CX04C560304</t>
  </si>
  <si>
    <t>T7N0CX04C56130F</t>
  </si>
  <si>
    <t>T7N0CX04C60330C</t>
  </si>
  <si>
    <t>T7N0CX04P267305</t>
  </si>
  <si>
    <t>T7N0CX04P30730G</t>
  </si>
  <si>
    <t>T7N0CX04P31230A</t>
  </si>
  <si>
    <t>T7N0CX04P35230B</t>
  </si>
  <si>
    <t>T7N0CX04P354304</t>
  </si>
  <si>
    <t>T7N0CX04P67530D</t>
  </si>
  <si>
    <t>TBN0CV030128459</t>
  </si>
  <si>
    <t>TBN0CV03013045G</t>
  </si>
  <si>
    <t>TBN0CV030225459</t>
  </si>
  <si>
    <t>TBN0CV03033445F</t>
  </si>
  <si>
    <t>TBN0CV030364451</t>
  </si>
  <si>
    <t>TBN0CV03037445C</t>
  </si>
  <si>
    <t>TBN0CV03037745C</t>
  </si>
  <si>
    <t>TBN0CV030379458</t>
  </si>
  <si>
    <t>TBN0CV06U331467</t>
  </si>
  <si>
    <t>TBN0CV06U52146C</t>
  </si>
  <si>
    <t>T8N0CV00S08231C</t>
  </si>
  <si>
    <t>T8N0CV00S111314</t>
  </si>
  <si>
    <t>T8N0CV00S11731F</t>
  </si>
  <si>
    <t>T8N0CV00S13431A</t>
  </si>
  <si>
    <t>TBN0CV16X31548D</t>
  </si>
  <si>
    <t>TBN0CV16X33548C</t>
  </si>
  <si>
    <t>TBN0CV16X55048A</t>
  </si>
  <si>
    <t>TBN0CV16X555483</t>
  </si>
  <si>
    <t>TBN0CV14N048484</t>
  </si>
  <si>
    <t>TAN0CV06P53542E</t>
  </si>
  <si>
    <t>TAN0CV06P654428</t>
  </si>
  <si>
    <t>TAN0CV06P67542E</t>
  </si>
  <si>
    <t>TAN0CV06P69842B</t>
  </si>
  <si>
    <t>TAN0CV06P892429</t>
  </si>
  <si>
    <t>TBN0CV167081486</t>
  </si>
  <si>
    <t>TBN0CV16726748D</t>
  </si>
  <si>
    <t>TBN0CV16727648A</t>
  </si>
  <si>
    <t>TBN0CV167297485</t>
  </si>
  <si>
    <t>TBN0CV167482485</t>
  </si>
  <si>
    <t>TBN0CV11X331477</t>
  </si>
  <si>
    <t>TBN0CV11X58247F</t>
  </si>
  <si>
    <t>TBN0CV11X74047E</t>
  </si>
  <si>
    <t>TBN0CV11X760473</t>
  </si>
  <si>
    <t>TBN0CV11X83347F</t>
  </si>
  <si>
    <t>TCN0CV023581492</t>
  </si>
  <si>
    <t>TBN0RJ00289948B</t>
  </si>
  <si>
    <t>DOA</t>
  </si>
  <si>
    <t>TCN0RJ005797524</t>
  </si>
  <si>
    <t>T4N0CV050795151</t>
  </si>
  <si>
    <t>T7N0RJ000287296</t>
  </si>
  <si>
    <t>T7N0RJ000577290</t>
  </si>
  <si>
    <t>TAN0RJ000749434</t>
  </si>
  <si>
    <t>TAN0RJ00117142A</t>
  </si>
  <si>
    <t>T5N0CV11P144217</t>
  </si>
  <si>
    <t>T5N0CV15J66821A</t>
  </si>
  <si>
    <t>T6N0CV00S713239</t>
  </si>
  <si>
    <t>TCN0CX04024152B</t>
  </si>
  <si>
    <t>T6N0KD00C556268</t>
  </si>
  <si>
    <t>T6N0KD00C572269</t>
  </si>
  <si>
    <t>T6N0KD00C574268</t>
  </si>
  <si>
    <t>T7N0KD001042308</t>
  </si>
  <si>
    <t>T7N0KD00157630A</t>
  </si>
  <si>
    <t>T7N0KD00181830A</t>
  </si>
  <si>
    <t>T7N0KD002305307</t>
  </si>
  <si>
    <t>T4N0KD00158918G</t>
  </si>
  <si>
    <t>T4N0KD001724181</t>
  </si>
  <si>
    <t>T4N0KD00176218E</t>
  </si>
  <si>
    <t>T4N0KD001855189</t>
  </si>
  <si>
    <t>T4N0KD001896189</t>
  </si>
  <si>
    <t>T4N0KD00194018E</t>
  </si>
  <si>
    <t>T4N0KD002053186</t>
  </si>
  <si>
    <t>T4N0KD00205618B</t>
  </si>
  <si>
    <t>T4N0KD00211718A</t>
  </si>
  <si>
    <t>T5N0KD00635620B</t>
  </si>
  <si>
    <t>T5N0KD006537200</t>
  </si>
  <si>
    <t>T5N0KD00682220G</t>
  </si>
  <si>
    <t>T5N0KD006865200</t>
  </si>
  <si>
    <t>T5N0KD008022209</t>
  </si>
  <si>
    <t>T5N0KD00811220A</t>
  </si>
  <si>
    <t>TAN0KD00382443B</t>
  </si>
  <si>
    <t>TAN0KD00385743F</t>
  </si>
  <si>
    <t>TAN0KD00386643F</t>
  </si>
  <si>
    <t>TAN0KD004304435</t>
  </si>
  <si>
    <t>K2408N0119039</t>
  </si>
  <si>
    <t>R5PTCJ00L900216</t>
  </si>
  <si>
    <t>S9PTCJ00N132399</t>
  </si>
  <si>
    <t>S9PTCJ00N403390</t>
  </si>
  <si>
    <t>T3PTCJ00V957132</t>
  </si>
  <si>
    <t>T3PTCJ00V983139</t>
  </si>
  <si>
    <t>T7PTCJ00Z198313</t>
  </si>
  <si>
    <t>T6PTCJ00J17824E</t>
  </si>
  <si>
    <t>T6PTCJ00W619252</t>
  </si>
  <si>
    <t>T6PTCJ00W629253</t>
  </si>
  <si>
    <t>T6PTCJ00W656257</t>
  </si>
  <si>
    <t>T6PTCJ00W756254</t>
  </si>
  <si>
    <t>T9PTCJ00S83439E</t>
  </si>
  <si>
    <t>T9PTCJ00T056390</t>
  </si>
  <si>
    <t>T4PTCJ00Y047176</t>
  </si>
  <si>
    <t>T6PTCJ00F83124E</t>
  </si>
  <si>
    <t>T6PTCJ00E87124C</t>
  </si>
  <si>
    <t>T6PTCJ00B672242</t>
  </si>
  <si>
    <t>T6PTCJ00F30424A</t>
  </si>
  <si>
    <t>T4PTCJ00W80216F</t>
  </si>
  <si>
    <t>T5PТCJ00A64019G</t>
  </si>
  <si>
    <t>T6PTCJ00F138249</t>
  </si>
  <si>
    <t>MCPFCG01Y536528</t>
  </si>
  <si>
    <t>N3PFCG00C00911B</t>
  </si>
  <si>
    <t>TBPFCJ017547484</t>
  </si>
  <si>
    <t>TBPFCJ017597484</t>
  </si>
  <si>
    <t>T6PFCJ01D48425F</t>
  </si>
  <si>
    <t>T6PFCJ01D56925A</t>
  </si>
  <si>
    <t>T6PFCJ01D57125D</t>
  </si>
  <si>
    <t>T6PFCJ01D584254</t>
  </si>
  <si>
    <t>T6PFCJ01D60025H</t>
  </si>
  <si>
    <t>T6PFCJ01D603257</t>
  </si>
  <si>
    <t>T6PFCJ01D61825F</t>
  </si>
  <si>
    <t>T6PFCJ01D62625H</t>
  </si>
  <si>
    <t>T6PFCJ01D65825E</t>
  </si>
  <si>
    <t>MODEL</t>
  </si>
  <si>
    <t>SERIAL</t>
  </si>
  <si>
    <t>BRANCH</t>
  </si>
  <si>
    <t>A3402WBAT-WA006WS</t>
  </si>
  <si>
    <t>M3702WFA-BA002WS</t>
  </si>
  <si>
    <t>V440VAB-KBPC002WS</t>
  </si>
  <si>
    <t>V440VAB-KWPC001WS</t>
  </si>
  <si>
    <t>V440VA-KBPC043WS</t>
  </si>
  <si>
    <t>V440VA-TWPD017WS</t>
  </si>
  <si>
    <t>V470VAB-KWPE001WS</t>
  </si>
  <si>
    <t>V470VAB-KWPE002WS</t>
  </si>
  <si>
    <t>V470VA-KWPE005WS</t>
  </si>
  <si>
    <t>V470VA-KWPE006WS</t>
  </si>
  <si>
    <t>G10CE-51040F033W</t>
  </si>
  <si>
    <t>G10CE-51140F242W</t>
  </si>
  <si>
    <t>T500MV-05210H011WS</t>
  </si>
  <si>
    <t>T500MV-13420H022WS</t>
  </si>
  <si>
    <t>E1404FA-EB2521WS</t>
  </si>
  <si>
    <t>E1404FA-EB2522WS</t>
  </si>
  <si>
    <t>E1504FA-BQ2111WS</t>
  </si>
  <si>
    <t>E1504FA-BQ2117WS</t>
  </si>
  <si>
    <t>E1504FA-BQ2490WS</t>
  </si>
  <si>
    <t>FA401EA-RG020WS</t>
  </si>
  <si>
    <t>FA401UU-RG033WS</t>
  </si>
  <si>
    <t>FA506NCG-HN200WS</t>
  </si>
  <si>
    <t>FA607NUG-RL136WS</t>
  </si>
  <si>
    <t>FA607NUG-RL189WS</t>
  </si>
  <si>
    <t>FA608PP-QT014WS</t>
  </si>
  <si>
    <t>FA608UH-RV112WS</t>
  </si>
  <si>
    <t>FX607VJB-RL179WS</t>
  </si>
  <si>
    <t>FX607VJB-RL215WS</t>
  </si>
  <si>
    <t>FX608JHR-RV135WS</t>
  </si>
  <si>
    <t>FX608JMR-RV049WS</t>
  </si>
  <si>
    <t>FX677VB-RL097WS</t>
  </si>
  <si>
    <t>FX677VU-RL055WS</t>
  </si>
  <si>
    <t>FX688JPR-QT043WS</t>
  </si>
  <si>
    <t>G614PH-RV033WS</t>
  </si>
  <si>
    <t>G614PM-S5046WS</t>
  </si>
  <si>
    <t>G615JHR-S5005WS</t>
  </si>
  <si>
    <t>G615LM-S5128WS</t>
  </si>
  <si>
    <t>G615LP-S5022WS</t>
  </si>
  <si>
    <t>G615LR-S5190WS</t>
  </si>
  <si>
    <t>G634JY-NM054WS</t>
  </si>
  <si>
    <t>G635LW-RW157WS</t>
  </si>
  <si>
    <t>G834JZ-N5041WS</t>
  </si>
  <si>
    <t>G835LX-SA187WS</t>
  </si>
  <si>
    <t>GA401QM-K2330TS</t>
  </si>
  <si>
    <t>GA402RJ-L8181WS</t>
  </si>
  <si>
    <t>GA402RJ-L8182WS</t>
  </si>
  <si>
    <t>GA403UM-QS007WS</t>
  </si>
  <si>
    <t>GA403WR-QS123WS</t>
  </si>
  <si>
    <t>GA503RW-LN066WS</t>
  </si>
  <si>
    <t>GU605MZ-CO931WS</t>
  </si>
  <si>
    <t>GV601RE-M6012WS</t>
  </si>
  <si>
    <t>GZ301ZA-LD049WS</t>
  </si>
  <si>
    <t>H7606WW-SE023WS</t>
  </si>
  <si>
    <t>K3504VA-LK541WS</t>
  </si>
  <si>
    <t>K3504VA-LK551WS</t>
  </si>
  <si>
    <t>K3605VC-RP413WS</t>
  </si>
  <si>
    <t>K513EA-L703WS</t>
  </si>
  <si>
    <t>K5504VAB-BN417WS</t>
  </si>
  <si>
    <t>KM413UA-EB503TS</t>
  </si>
  <si>
    <t>M1407KA-LY111WS</t>
  </si>
  <si>
    <t>M1407KA-LY131WS</t>
  </si>
  <si>
    <t>M1407KA-LY132WS</t>
  </si>
  <si>
    <t>M1607GA-MB029WS</t>
  </si>
  <si>
    <t>M1607GA-MB030WS</t>
  </si>
  <si>
    <t>M3607KA-SH100WS</t>
  </si>
  <si>
    <t>S3407CA-LY057WS</t>
  </si>
  <si>
    <t>S3407VA-LY080WS</t>
  </si>
  <si>
    <t>S3607CA-RP065WS</t>
  </si>
  <si>
    <t>S3607CA-SH071WS</t>
  </si>
  <si>
    <t>S3607CA-SH077WS</t>
  </si>
  <si>
    <t>S5504VA-MA941WS</t>
  </si>
  <si>
    <t>S5507QAD-MA751WS</t>
  </si>
  <si>
    <t>TP3402VAO-LZ612WS</t>
  </si>
  <si>
    <t>TP3402VAO-LZ619WS</t>
  </si>
  <si>
    <t>TP3407SA-QL024WS</t>
  </si>
  <si>
    <t>TP3407SA-QL025WS</t>
  </si>
  <si>
    <t>UM5606GA-SR248WS</t>
  </si>
  <si>
    <t>UM5606GA-SR249WS</t>
  </si>
  <si>
    <t>UN5401QA-KN901WS</t>
  </si>
  <si>
    <t>UX3405CA-PZ162WS</t>
  </si>
  <si>
    <t>UX3405CA-PZ163WS</t>
  </si>
  <si>
    <t>UX3405CA-PZ345WS</t>
  </si>
  <si>
    <t>UX3405CA-PZ348WS</t>
  </si>
  <si>
    <t>UX3405CA-PZ349WS</t>
  </si>
  <si>
    <t>UX3405MA-PP555WS</t>
  </si>
  <si>
    <t>UX3405MA-PZ551WS</t>
  </si>
  <si>
    <t>UX3407QA-QD259WS</t>
  </si>
  <si>
    <t>UX5304MA-NQ761WS</t>
  </si>
  <si>
    <t>UX5304VA-NQ542WS</t>
  </si>
  <si>
    <t>UX5304VA-NQ741WS</t>
  </si>
  <si>
    <t>UX5304VA-NQ762WS</t>
  </si>
  <si>
    <t>UX5406SA-PV356WS</t>
  </si>
  <si>
    <t>UX5406SA-PZ358WS</t>
  </si>
  <si>
    <t>UX5406SA-PZ7761WS</t>
  </si>
  <si>
    <t>UX5406SA-PZ7762WS</t>
  </si>
  <si>
    <t>UX8406MA-QL961WS</t>
  </si>
  <si>
    <t>V3607VH-RP037WS</t>
  </si>
  <si>
    <t>V3607VH-RP038WS</t>
  </si>
  <si>
    <t>V3607VJ-RP134WS</t>
  </si>
  <si>
    <t>V3607VM-RP057WS</t>
  </si>
  <si>
    <t>V3607VU-RP275WS</t>
  </si>
  <si>
    <t>V3607VU-RP550WS</t>
  </si>
  <si>
    <t>X1404VA-EB321WS</t>
  </si>
  <si>
    <t>X1404VA-EB322WS</t>
  </si>
  <si>
    <t>X1404VA-EB323WS</t>
  </si>
  <si>
    <t>X1404VAP-EB1541WS</t>
  </si>
  <si>
    <t>X1404VAP-EB1542WS</t>
  </si>
  <si>
    <t>X1404VAP-EB543WS</t>
  </si>
  <si>
    <t>X1504VA-BQ341WS</t>
  </si>
  <si>
    <t>X1504VA-BQ342WS</t>
  </si>
  <si>
    <t>X1504VA-BQ343WS</t>
  </si>
  <si>
    <t>X1504VA-D5321WS</t>
  </si>
  <si>
    <t>X1504VAP-BQ1543WS</t>
  </si>
  <si>
    <t>X1504VAP-BQ224WS</t>
  </si>
  <si>
    <t>X1504VAP-NJ2861WS</t>
  </si>
  <si>
    <t>X1605VA-MB1627WS</t>
  </si>
  <si>
    <t>X1605VA-MB1628WS</t>
  </si>
  <si>
    <t>X1605VA-SH1952WS</t>
  </si>
  <si>
    <t>X1607CA-MB142WS</t>
  </si>
  <si>
    <t>X1607QA-MB049WS</t>
  </si>
  <si>
    <t>X1607QA-MB050WS</t>
  </si>
  <si>
    <t>RC72LA-NH021W</t>
  </si>
  <si>
    <t>RC73XA-NH016W</t>
  </si>
  <si>
    <t>RC73YA-NH010W</t>
  </si>
  <si>
    <t>UX5406SA-PZ555WS</t>
  </si>
  <si>
    <t>AES_CGROAD</t>
  </si>
  <si>
    <t>AESVASTRAL</t>
  </si>
  <si>
    <t>MSIMODERN15B12MO-1007IN</t>
  </si>
  <si>
    <t>PRIMARYBATCH</t>
  </si>
  <si>
    <t>SRP</t>
  </si>
  <si>
    <t>Supported T2 DBP</t>
  </si>
  <si>
    <t>Support on SRP</t>
  </si>
  <si>
    <t xml:space="preserve">CN
per unit </t>
  </si>
  <si>
    <t>Program Period</t>
  </si>
  <si>
    <t>CLAIM CODE</t>
  </si>
  <si>
    <t>90PT03G2-M00CN0</t>
  </si>
  <si>
    <t>01 - 31 MARCH</t>
  </si>
  <si>
    <t>(PT2026Q174) AIO 1st March to 31st March 2026_Channel_ASUS March Top Picks_ Activation Support</t>
  </si>
  <si>
    <t>90NB0ZS1-M01AR0</t>
  </si>
  <si>
    <t>01 - 15 MARCH</t>
  </si>
  <si>
    <t>(NB20260329)_Mar_Your Vibe Your Color Your Deal_Activation Support_ALP_Multi Model</t>
  </si>
  <si>
    <t>90NB0ZS2-M01AS0</t>
  </si>
  <si>
    <t>90NB0ZR1-M057B0</t>
  </si>
  <si>
    <t>90NB0ZR3-M05810</t>
  </si>
  <si>
    <t>90NB14I2-M00070</t>
  </si>
  <si>
    <t>90NR0JD1-M001Z0</t>
  </si>
  <si>
    <t>(NR260319) Asus Mar Top Picks_Activation Support_ALP</t>
  </si>
  <si>
    <t>90NR0JF7-M00FY0</t>
  </si>
  <si>
    <t>(NR260301) Asus your vibe your color your Deal _Activation Support_ALP</t>
  </si>
  <si>
    <t>90NR0MU3-M00870</t>
  </si>
  <si>
    <t>90NR0MU3-M00BM0</t>
  </si>
  <si>
    <t>90NR0MD1-M000M0</t>
  </si>
  <si>
    <t>90NR0KS1-M008K0</t>
  </si>
  <si>
    <t>90NR0MZ6-M009N0</t>
  </si>
  <si>
    <t>90NR0MZ6-M00BS0</t>
  </si>
  <si>
    <t>90NR0NA1-M00790</t>
  </si>
  <si>
    <t>90NR0NB1-M00360</t>
  </si>
  <si>
    <t>90NR0NF6-M005L0</t>
  </si>
  <si>
    <t>90NR0N06-M004X0</t>
  </si>
  <si>
    <t>90NR0KX7-M001F0</t>
  </si>
  <si>
    <t>90NB10A1-M007T0</t>
  </si>
  <si>
    <t>(NB20260312)_Mar_Aging_Activation Support_ALP_Multi Models</t>
  </si>
  <si>
    <t>90NB10A1-M007V0</t>
  </si>
  <si>
    <t>90NB11D2-M00JH0</t>
  </si>
  <si>
    <t>(NB20260347)_Mar_Your Vibe Your Color Your Deal_Activation Support_ALP_Creator</t>
  </si>
  <si>
    <t>90NB0SG2-M43770</t>
  </si>
  <si>
    <t>90NB0ZK2-M00RS0</t>
  </si>
  <si>
    <t>90NB0TMB-M00910</t>
  </si>
  <si>
    <t>90NB15H3-M005V0</t>
  </si>
  <si>
    <t>(NB20260316)_Mar_Top Picks_Activation Support_ALP_Multi Model</t>
  </si>
  <si>
    <t>90NB15H3-M006K0</t>
  </si>
  <si>
    <t>90NB15H1-M006L0</t>
  </si>
  <si>
    <t>90NB16Z2-M001C0</t>
  </si>
  <si>
    <t>90NB16Z1-M001D0</t>
  </si>
  <si>
    <t>90NB16T1-M00670</t>
  </si>
  <si>
    <t>90PT03M2-M008P0</t>
  </si>
  <si>
    <t>90NV00H2-M002Z0</t>
  </si>
  <si>
    <t>[NV20260301] Asus your vibe your color your Deal _Activation Support_ALP_Ally</t>
  </si>
  <si>
    <t>90NB16J2-M00330</t>
  </si>
  <si>
    <t>90NB1682-M006K0</t>
  </si>
  <si>
    <t>90NB16I1-M004R0</t>
  </si>
  <si>
    <t>90NB16I1-M00530</t>
  </si>
  <si>
    <t>90NB16I1-M005V0</t>
  </si>
  <si>
    <t>90NB0ZK1-M00710</t>
  </si>
  <si>
    <t>90NB14Q2-M006Y0</t>
  </si>
  <si>
    <t>90PF05H2-M02B90</t>
  </si>
  <si>
    <t>(PF260303) 1 Mar to 15 Mar_Your Vibe. Your Color. Your Deal_Consumer &amp; Gaming DT_Activation Support_Channel</t>
  </si>
  <si>
    <t>90PF05H1-M00M40</t>
  </si>
  <si>
    <t>90NB10W2-M00SB0</t>
  </si>
  <si>
    <t>90NB10W1-M00SK0</t>
  </si>
  <si>
    <t>90NB14Y1-M004M0</t>
  </si>
  <si>
    <t>90NB14Y1-M004N0</t>
  </si>
  <si>
    <t>90NB0V31-M002Z0</t>
  </si>
  <si>
    <t>90NB14W3-M00E90</t>
  </si>
  <si>
    <t>90NB14W3-M00EA0</t>
  </si>
  <si>
    <t>90NB14W4-M00E60</t>
  </si>
  <si>
    <t>90NB14W4-M00EC0</t>
  </si>
  <si>
    <t>90NB14W4-M00ED0</t>
  </si>
  <si>
    <t>90NB11R1-M01M30</t>
  </si>
  <si>
    <t>90NB11R4-M00DC0</t>
  </si>
  <si>
    <t>90NB1502-M00FL0</t>
  </si>
  <si>
    <t>90NB12V3-M006C0</t>
  </si>
  <si>
    <t>90NB0Z92-M009D0</t>
  </si>
  <si>
    <t>90NB0Z93-M009C0</t>
  </si>
  <si>
    <t>90NB14F4-M00JD0</t>
  </si>
  <si>
    <t>90NB14F3-M00UZ0</t>
  </si>
  <si>
    <t>90NB14F3-M00N30</t>
  </si>
  <si>
    <t>90NB14F4-M00N40</t>
  </si>
  <si>
    <t>90NB12U1-M00HK0</t>
  </si>
  <si>
    <t>90NB16L1-M003K0</t>
  </si>
  <si>
    <t>90NB16L1-M003L0</t>
  </si>
  <si>
    <t>90NB15V1-M008A0</t>
  </si>
  <si>
    <t>90NB16K1-M004P0</t>
  </si>
  <si>
    <t>90NB15Q1-M00L40</t>
  </si>
  <si>
    <t>90NB15Q1-M00DV0</t>
  </si>
  <si>
    <t>90PT03X3-M01JJ0</t>
  </si>
  <si>
    <t>(PT2026Q167) AIO 1st March to 15th March 2026_Channel_Your Vibe, Your Color, Your Deal_Activation support</t>
  </si>
  <si>
    <t>90PT03X1-M01JK0</t>
  </si>
  <si>
    <t>90PT03X3-M012V0</t>
  </si>
  <si>
    <t>90PT03X1-M05KV0</t>
  </si>
  <si>
    <t>90PT03W1-M00PD0</t>
  </si>
  <si>
    <t>90PT03W1-M01AA0</t>
  </si>
  <si>
    <t>90PT03W1-M00FP0</t>
  </si>
  <si>
    <t>90PT03W1-M00FR0</t>
  </si>
  <si>
    <t>90NB10I2-M01HM0</t>
  </si>
  <si>
    <t>90NB10I1-M01HL0</t>
  </si>
  <si>
    <t>90NB10I3-M01KY0</t>
  </si>
  <si>
    <t>90NB13U2-M00MD0</t>
  </si>
  <si>
    <t>90NB13U1-M00ME0</t>
  </si>
  <si>
    <t>90NB13U3-M00F20</t>
  </si>
  <si>
    <t>90NB10J2-M041L0</t>
  </si>
  <si>
    <t>90NB10J1-M03W10</t>
  </si>
  <si>
    <t>90NB10J3-M041N0</t>
  </si>
  <si>
    <t>90NB13Y2-M02C60</t>
  </si>
  <si>
    <t>90NB13Y3-M01PS0</t>
  </si>
  <si>
    <t>90NB17T2-M00020</t>
  </si>
  <si>
    <t>90NB13Y2-M00TS0</t>
  </si>
  <si>
    <t>90NB10N2-M021S0</t>
  </si>
  <si>
    <t>90NB10N2-M021T0</t>
  </si>
  <si>
    <t>90NB10N2-M02DW0</t>
  </si>
  <si>
    <t>90NB15A2-M007P0</t>
  </si>
  <si>
    <t>90NB15Z1-M003H0</t>
  </si>
  <si>
    <t>90NB15Z2-M005U0</t>
  </si>
  <si>
    <t>PRICE LIST SUPPORT FULL MONTH MARCH 2026</t>
  </si>
  <si>
    <t>90PF02T2-M00LP0</t>
  </si>
  <si>
    <t>90PF02T2-M00PF0</t>
  </si>
  <si>
    <t>90NR07Y1-M000R0</t>
  </si>
  <si>
    <t>90NV00G1-M001S0</t>
  </si>
  <si>
    <t>90NR0AT2-M000D0</t>
  </si>
  <si>
    <t>90NV00F1-M00340</t>
  </si>
  <si>
    <t>90NR09T3-M00B40</t>
  </si>
  <si>
    <t>90NR09T4-M00B50</t>
  </si>
  <si>
    <t>90NB0Z92-M00AJ0</t>
  </si>
  <si>
    <t>90NB14F2-M00JF0</t>
  </si>
  <si>
    <t>90NR0821-M00340</t>
  </si>
  <si>
    <t>90NR0LL1-M00050</t>
  </si>
  <si>
    <t>90NB17H6-M00C20</t>
  </si>
  <si>
    <t>90NB17H4-M00C30</t>
  </si>
  <si>
    <t>90NR0PM1-M001P0</t>
  </si>
  <si>
    <t>90NR0KW7-M002J0</t>
  </si>
  <si>
    <t>90NR0NG1-M003F0</t>
  </si>
  <si>
    <t>90NR0M81-M00080</t>
  </si>
  <si>
    <t>90NR0LJ1-M00540</t>
  </si>
  <si>
    <t>90NR0LN1-M000V0</t>
  </si>
  <si>
    <t>90NR0D31-M002T0</t>
  </si>
  <si>
    <t>90NR0LR1-M007K0</t>
  </si>
  <si>
    <t>90NR0M53-M00680</t>
  </si>
  <si>
    <t>90NR0IR5-M004C0</t>
  </si>
  <si>
    <t>90NR0D91-M003K0</t>
  </si>
  <si>
    <t>90NR0LD1-M006X0</t>
  </si>
  <si>
    <t>90NB17F1-M00150</t>
  </si>
  <si>
    <t>90NR0LF1-M00910</t>
  </si>
  <si>
    <t>AEGING INCENTIVE AMOUNT</t>
  </si>
  <si>
    <t>AEGING TIME PERIOD</t>
  </si>
  <si>
    <t>ASS_MNG</t>
  </si>
  <si>
    <t>T7NXCV12A951299</t>
  </si>
  <si>
    <t>AES_BYD</t>
  </si>
  <si>
    <t>T9N0CV013564364</t>
  </si>
  <si>
    <t>N6N0LP03R505256</t>
  </si>
  <si>
    <t>S7N0QC001644278</t>
  </si>
  <si>
    <t>N3NRKD008785119</t>
  </si>
  <si>
    <t>AES_CHK</t>
  </si>
  <si>
    <t>T3N0CX079806134</t>
  </si>
  <si>
    <t>T6N0CV18L252263</t>
  </si>
  <si>
    <t>T7NORJ003939317</t>
  </si>
  <si>
    <t>T6N0CV18L63326D</t>
  </si>
  <si>
    <t>T1N0CX07312403A</t>
  </si>
  <si>
    <t>AES_CGR</t>
  </si>
  <si>
    <t>T6N0RJ00396923C</t>
  </si>
  <si>
    <t>T2N0CV07B681086</t>
  </si>
  <si>
    <t>T3N0CV04J22710C</t>
  </si>
  <si>
    <t>S6N0CV11J128259</t>
  </si>
  <si>
    <t>T6N0LP008467247</t>
  </si>
  <si>
    <t>T3N0LP00182911B</t>
  </si>
  <si>
    <t>T4N0LP004806184</t>
  </si>
  <si>
    <t>T4N0LP005239185</t>
  </si>
  <si>
    <t>T5N0LP00A93522G</t>
  </si>
  <si>
    <t>T6N0LP00J22026H</t>
  </si>
  <si>
    <t>T3N0CX04J49112E</t>
  </si>
  <si>
    <t>SAN0KD00933842A</t>
  </si>
  <si>
    <t>R9NXNZ00N65338E</t>
  </si>
  <si>
    <t>R9N0CV04457036E</t>
  </si>
  <si>
    <t>R9NXNZ00N87838B</t>
  </si>
  <si>
    <t>R9NXNZ006245369</t>
  </si>
  <si>
    <t>R9NXNZ00P03338A</t>
  </si>
  <si>
    <t>T7NXCV01S36327D</t>
  </si>
  <si>
    <t>N8NXCV06V570325</t>
  </si>
  <si>
    <t>R4N0CV130803175</t>
  </si>
  <si>
    <t>AES_VST</t>
  </si>
  <si>
    <t>T6N0KD009087230</t>
  </si>
  <si>
    <t>S7N0KD000443302</t>
  </si>
  <si>
    <t>S9N0CX05E007372</t>
  </si>
  <si>
    <t>S5N0CX102967226</t>
  </si>
  <si>
    <t>S8N0CX128284355</t>
  </si>
  <si>
    <t>T5N0CX052495213</t>
  </si>
  <si>
    <t>T6N0CX02N88224A</t>
  </si>
  <si>
    <t>T3N0CX00D49110E</t>
  </si>
  <si>
    <t>T4N0CX03R047166</t>
  </si>
  <si>
    <t>R3N0CV11861012A</t>
  </si>
  <si>
    <t>S4N0CX007063148</t>
  </si>
  <si>
    <t>S5N0CX03M92420H</t>
  </si>
  <si>
    <t>T4N0CX00V356147</t>
  </si>
  <si>
    <t>T4N0CX05710817F</t>
  </si>
  <si>
    <t>T4N0CX05714717G</t>
  </si>
  <si>
    <t>T1NXLP01Y286047</t>
  </si>
  <si>
    <t>N7NXCV20J158309</t>
  </si>
  <si>
    <t>T6N0CV07T677246</t>
  </si>
  <si>
    <t>SCN0CV03E93949A</t>
  </si>
  <si>
    <t>S5N0CX07V88121C</t>
  </si>
  <si>
    <t>S7N0CX05594729F</t>
  </si>
  <si>
    <t>S8N0CX01455031A</t>
  </si>
  <si>
    <t>S7N0CX055887296</t>
  </si>
  <si>
    <t>T8N0CV02W604328</t>
  </si>
  <si>
    <t>T6N0CV15H123258</t>
  </si>
  <si>
    <t>T4N0CX06S67318D</t>
  </si>
  <si>
    <t>S2N0CV083183098</t>
  </si>
  <si>
    <t>S8N0KD018994327</t>
  </si>
  <si>
    <t>SBN0KD001787488</t>
  </si>
  <si>
    <t>S8N0KD002987350</t>
  </si>
  <si>
    <t>S3N0CV037158108</t>
  </si>
  <si>
    <t>S4N0CX11491217E</t>
  </si>
  <si>
    <t>S6N0CV10C722253</t>
  </si>
  <si>
    <t>S6N0CV10C67325E</t>
  </si>
  <si>
    <t>S4N0CV03J706155</t>
  </si>
  <si>
    <t>S9N0KD006612369</t>
  </si>
  <si>
    <t>SCN0KD001675499</t>
  </si>
  <si>
    <t>S3N0CV03903010C</t>
  </si>
  <si>
    <t>S3N0CV039089104</t>
  </si>
  <si>
    <t>T7NRKD007006309</t>
  </si>
  <si>
    <t>T4NRKD00J846166</t>
  </si>
  <si>
    <t>RF B1403CVAB-S61317X</t>
  </si>
  <si>
    <t>RF M1502YA-BQ989WS</t>
  </si>
  <si>
    <t>RF TP3402ZA-LZ501WS</t>
  </si>
  <si>
    <t>RF X1605ZAC-MB741WS</t>
  </si>
  <si>
    <t>RF GV301RA-LJ031WS</t>
  </si>
  <si>
    <t>RF S3407VA-LY033WS</t>
  </si>
  <si>
    <t>RF X1605VA-MB1627WS</t>
  </si>
  <si>
    <t>RF X1607CA-MB142WS</t>
  </si>
  <si>
    <t>RF X1605VA-MB1628WS</t>
  </si>
  <si>
    <t>RF X1605VA-MB747WS</t>
  </si>
  <si>
    <t>RF TP3402VAO-LZ612WS</t>
  </si>
  <si>
    <t>RF TP3402VAO-LZ619WS</t>
  </si>
  <si>
    <t>RF K3605VC-RP413WS</t>
  </si>
  <si>
    <t>RF S5507QA-MA551WS</t>
  </si>
  <si>
    <t>RF B5402CVA-KI0275X</t>
  </si>
  <si>
    <t>RF K3502ZA-L702WS</t>
  </si>
  <si>
    <t>RF B5402FVA-KA0158X</t>
  </si>
  <si>
    <t>RF P1403CVA-S60940WS</t>
  </si>
  <si>
    <t>RF B9400CBA-KC0329X</t>
  </si>
  <si>
    <t>RF UX5304VA-NQ541WS</t>
  </si>
  <si>
    <t>RF M1607KA-MB109WS</t>
  </si>
  <si>
    <t>RF S5507QAD-MA751WS</t>
  </si>
  <si>
    <t>RF S5504VA-MA543WS</t>
  </si>
  <si>
    <t>RF UX3405MA-PP555WS</t>
  </si>
  <si>
    <t>RF S3407CA-LY060WS</t>
  </si>
  <si>
    <t>RF S3407CA-LY057WS</t>
  </si>
  <si>
    <t>RF UX5304VA-NQ542WS</t>
  </si>
  <si>
    <t>RF M5406NA-QD551WS</t>
  </si>
  <si>
    <t>RF UX3405MA-PZ552WS</t>
  </si>
  <si>
    <t>RF S3607CA-RP065WS</t>
  </si>
  <si>
    <t>RF P5405CSA-NZ0583WS</t>
  </si>
  <si>
    <t>RF B9400CBA-KC0252X</t>
  </si>
  <si>
    <t>RF V3607VU-RP550WS</t>
  </si>
  <si>
    <t>RF UX3405MA-PZ751WS</t>
  </si>
  <si>
    <t>RF M5406WA-PP961WS</t>
  </si>
  <si>
    <t>RF M5406WA-PP962WS</t>
  </si>
  <si>
    <t>RF V3607VU-RP275WS</t>
  </si>
  <si>
    <t>RF UX3405CA-PZ348WS</t>
  </si>
  <si>
    <t>RF UX5304MA-NQ762WS</t>
  </si>
  <si>
    <t>RF HT5306QA-LX002WS</t>
  </si>
  <si>
    <t>RF HT5306QA-LX402WS</t>
  </si>
  <si>
    <t>RF UX5406SA-PV356WS</t>
  </si>
  <si>
    <t>RF UX8406MA-QL551WS</t>
  </si>
  <si>
    <t>RF UX3405MA-PZ962WS</t>
  </si>
  <si>
    <t>RF UX8406MA-QL761WS</t>
  </si>
  <si>
    <t>RF UX5406SA-PZ358WS</t>
  </si>
  <si>
    <t>RF UX5406SA-PZ7761WS</t>
  </si>
  <si>
    <t>RF UX8406MA-QL961WS</t>
  </si>
  <si>
    <t>RF G615LP-S5022WS</t>
  </si>
  <si>
    <t>RF G615LR-S5190WS</t>
  </si>
  <si>
    <t>00</t>
  </si>
  <si>
    <t>26 02 - 31 03</t>
  </si>
  <si>
    <t>90NX0811-M01F90</t>
  </si>
  <si>
    <t>90NR09X1-M00160</t>
  </si>
  <si>
    <t>90NX06P1-M009F0</t>
  </si>
  <si>
    <t>90NX06N1-M00580</t>
  </si>
  <si>
    <t>90NX0871-M01240</t>
  </si>
  <si>
    <t>90NX04Z1-M00C50</t>
  </si>
  <si>
    <t>90NB1493-M006Z0</t>
  </si>
  <si>
    <t>90NX0861-M00S90</t>
  </si>
  <si>
    <t>90NX04Z1-M009A0</t>
  </si>
  <si>
    <t>90NB0WR1-M004D0</t>
  </si>
  <si>
    <t>90NB0X21-M01KT0</t>
  </si>
  <si>
    <t>90NB0ZA2-M013W0</t>
  </si>
  <si>
    <t>90NB1681-M001E0</t>
  </si>
  <si>
    <t>90NB14Q2-M00150</t>
  </si>
  <si>
    <t>90NB10N3-M018M0</t>
  </si>
  <si>
    <t>90NB15F1-M00670</t>
  </si>
  <si>
    <t>90NB0WK2-M00420</t>
  </si>
  <si>
    <t>90NB0Z93-M009A0</t>
  </si>
  <si>
    <t>90NB0ZK3-M007Z0</t>
  </si>
  <si>
    <t>90NB16J1-M003B0</t>
  </si>
  <si>
    <t>90NB11R3-M00DD0</t>
  </si>
  <si>
    <t>90NB11R4-M00540</t>
  </si>
  <si>
    <t>90NB14P3-M00080</t>
  </si>
  <si>
    <t>90NB14P1-M00090</t>
  </si>
  <si>
    <t>90NB12V2-M006B0</t>
  </si>
  <si>
    <t>90NB1441-M002H0</t>
  </si>
  <si>
    <t>90NB1441-M005J0</t>
  </si>
  <si>
    <t>90NB12U1-M00HB0</t>
  </si>
  <si>
    <t>90NB11R3-M00XN0</t>
  </si>
  <si>
    <t>90NB12U1-M00LM0</t>
  </si>
  <si>
    <t>PART</t>
  </si>
  <si>
    <t>T2 DATE</t>
  </si>
  <si>
    <t>SUPPORTED 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</si>
</sst>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 applyBorder="1" applyAlignment="1">
      <alignment horizontal="center" vertical="top"/>
    </xf>
    <xf numFmtId="49" fontId="3" fillId="2" borderId="0" xfId="0" applyNumberFormat="1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/>
    </xf>
    <xf numFmtId="44" fontId="0" fillId="2" borderId="0" xfId="0" applyNumberForma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5a0fcb61910d7fa/Desktop/Activation%20Merged%20Gmail/Select%202026/3MAR.xlsx" TargetMode="External"/><Relationship Id="rId1" Type="http://schemas.openxmlformats.org/officeDocument/2006/relationships/externalLinkPath" Target="https://d.docs.live.net/f5a0fcb61910d7fa/Desktop/Activation%20Merged%20Gmail/Select%202026/3M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</sheetNames>
    <sheetDataSet>
      <sheetData sheetId="0">
        <row r="1">
          <cell r="E1" t="str">
            <v>Model Name</v>
          </cell>
          <cell r="F1" t="str">
            <v>Part No</v>
          </cell>
          <cell r="G1" t="str">
            <v>SPEC</v>
          </cell>
          <cell r="H1" t="str">
            <v>SRP</v>
          </cell>
          <cell r="I1" t="str">
            <v>T2 DBP</v>
          </cell>
          <cell r="J1" t="str">
            <v>Supported SRP</v>
          </cell>
          <cell r="K1" t="str">
            <v>Supported T2 DBP</v>
          </cell>
          <cell r="L1" t="str">
            <v>Support on SRP</v>
          </cell>
          <cell r="M1" t="str">
            <v xml:space="preserve">CN
per unit </v>
          </cell>
          <cell r="N1" t="str">
            <v>Program Period</v>
          </cell>
          <cell r="O1" t="str">
            <v>CLAIM CODE</v>
          </cell>
        </row>
        <row r="2">
          <cell r="C2" t="str">
            <v>RF E410KA-BV101WS</v>
          </cell>
          <cell r="E2" t="str">
            <v>E410KA-BV101WS</v>
          </cell>
          <cell r="F2" t="str">
            <v>90NB0UA1-M004H0</v>
          </cell>
          <cell r="G2" t="str">
            <v xml:space="preserve">PQC N6000 /  / 8GB / 256GB SSD / Black / 14.0-inch / HD / 1Y International Warranty / McAfee / Win 11 / Office H&amp;S 2021 /  /  / Numberpad / </v>
          </cell>
          <cell r="H2">
            <v>12594</v>
          </cell>
          <cell r="I2">
            <v>10193</v>
          </cell>
          <cell r="J2">
            <v>11894</v>
          </cell>
          <cell r="K2">
            <v>9626</v>
          </cell>
          <cell r="L2">
            <v>700</v>
          </cell>
          <cell r="M2">
            <v>567</v>
          </cell>
          <cell r="N2" t="str">
            <v>01 - 29 MARCH</v>
          </cell>
          <cell r="O2" t="str">
            <v>(NB20260315)_Mar_Sellout Support_RF _Asus_Select</v>
          </cell>
        </row>
        <row r="3">
          <cell r="C3" t="str">
            <v>RF E410KA-EK101WS</v>
          </cell>
          <cell r="E3" t="str">
            <v>E410KA-EK101WS</v>
          </cell>
          <cell r="F3" t="str">
            <v>90NB0UA1-M02620</v>
          </cell>
          <cell r="G3" t="str">
            <v>PQC-N6000//8G/256 PCIe SSD/Black/14" FHD/1Y international warranty + McAfee/Win 11 + Office H&amp;S/NumberPad/</v>
          </cell>
          <cell r="H3">
            <v>12594</v>
          </cell>
          <cell r="I3">
            <v>10193</v>
          </cell>
          <cell r="J3">
            <v>11894</v>
          </cell>
          <cell r="K3">
            <v>9626</v>
          </cell>
          <cell r="L3">
            <v>700</v>
          </cell>
          <cell r="M3">
            <v>567</v>
          </cell>
          <cell r="N3" t="str">
            <v>01 - 29 MARCH</v>
          </cell>
          <cell r="O3" t="str">
            <v>(NB20260315)_Mar_Sellout Support_RF _Asus_Select</v>
          </cell>
        </row>
        <row r="4">
          <cell r="C4" t="str">
            <v>RF E410KA-EK103WS</v>
          </cell>
          <cell r="E4" t="str">
            <v>E410KA-EK103WS</v>
          </cell>
          <cell r="F4" t="str">
            <v>90NB0UA5-M02630</v>
          </cell>
          <cell r="G4" t="str">
            <v>PQC-N6000//8G/256 PCIe SSD/STAR Black/14" FHD/1Y international warranty + McAfee/Win 11 + Office H&amp;S/NumberPad/</v>
          </cell>
          <cell r="H4">
            <v>12594</v>
          </cell>
          <cell r="I4">
            <v>10193</v>
          </cell>
          <cell r="J4">
            <v>11894</v>
          </cell>
          <cell r="K4">
            <v>9626</v>
          </cell>
          <cell r="L4">
            <v>700</v>
          </cell>
          <cell r="M4">
            <v>567</v>
          </cell>
          <cell r="N4" t="str">
            <v>01 - 29 MARCH</v>
          </cell>
          <cell r="O4" t="str">
            <v>(NB20260315)_Mar_Sellout Support_RF _Asus_Select</v>
          </cell>
        </row>
        <row r="5">
          <cell r="C5" t="str">
            <v>RF X543UA-DM342T</v>
          </cell>
          <cell r="E5" t="str">
            <v>X543UA-DM342T</v>
          </cell>
          <cell r="F5" t="str">
            <v>90NB0HF7-M39720</v>
          </cell>
          <cell r="G5" t="str">
            <v>i3-7020U/4G/1T/STAR GREY/15.6"FHD/1Y</v>
          </cell>
          <cell r="H5">
            <v>13794</v>
          </cell>
          <cell r="I5">
            <v>11164</v>
          </cell>
          <cell r="J5">
            <v>12184</v>
          </cell>
          <cell r="K5">
            <v>9861</v>
          </cell>
          <cell r="L5">
            <v>1610</v>
          </cell>
          <cell r="M5">
            <v>1303</v>
          </cell>
          <cell r="N5" t="str">
            <v>01 - 29 MARCH</v>
          </cell>
          <cell r="O5" t="str">
            <v>(NB20260315)_Mar_Sellout Support_RF _Asus_Select</v>
          </cell>
        </row>
        <row r="6">
          <cell r="C6" t="str">
            <v>RF E510MA-EJ001W</v>
          </cell>
          <cell r="E6" t="str">
            <v>E510MA-EJ001W</v>
          </cell>
          <cell r="F6" t="str">
            <v>90NB0Q65-M013S0</v>
          </cell>
          <cell r="G6" t="str">
            <v xml:space="preserve">Intel® Celeron® N4020 4GB DDR4  / 256GB PCIe® 3.0 SSD / 15.6-inch / FHD (1920 x 1080) 16:9  /  / Star Black /  /  / FingerPrint /  / Win 11 Home /  / </v>
          </cell>
          <cell r="H6">
            <v>13993</v>
          </cell>
          <cell r="I6">
            <v>11325</v>
          </cell>
          <cell r="J6">
            <v>12393</v>
          </cell>
          <cell r="K6">
            <v>10030</v>
          </cell>
          <cell r="L6">
            <v>1600</v>
          </cell>
          <cell r="M6">
            <v>1295</v>
          </cell>
          <cell r="N6" t="str">
            <v>01 - 29 MARCH</v>
          </cell>
          <cell r="O6" t="str">
            <v>(NB20260315)_Mar_Sellout Support_RF _Asus_Select</v>
          </cell>
        </row>
        <row r="7">
          <cell r="C7" t="str">
            <v>RF E510MA-EJ001W</v>
          </cell>
          <cell r="E7" t="str">
            <v>E510MA-EJ001W</v>
          </cell>
          <cell r="F7" t="str">
            <v>90NB0Q65-M010J0</v>
          </cell>
          <cell r="G7" t="str">
            <v xml:space="preserve">Intel® Celeron® N4020 4GB DDR4  / 256GB PCIe® 3.0 SSD / 15.6-inch / FHD (1920 x 1080) 16:9  /  / Star Black /  /  / FingerPrint /  / Win 11 Home /  / </v>
          </cell>
          <cell r="H7">
            <v>13993</v>
          </cell>
          <cell r="I7">
            <v>11325</v>
          </cell>
          <cell r="J7">
            <v>12393</v>
          </cell>
          <cell r="K7">
            <v>10030</v>
          </cell>
          <cell r="L7">
            <v>1600</v>
          </cell>
          <cell r="M7">
            <v>1295</v>
          </cell>
          <cell r="N7" t="str">
            <v>01 - 29 MARCH</v>
          </cell>
          <cell r="O7" t="str">
            <v>(NB20260315)_Mar_Sellout Support_RF _Asus_Select</v>
          </cell>
        </row>
        <row r="8">
          <cell r="C8" t="str">
            <v>RF X1500EA-EJ121WS</v>
          </cell>
          <cell r="E8" t="str">
            <v>X1500EA-EJ121WS</v>
          </cell>
          <cell r="F8" t="str">
            <v>90NB0TY5-M02AL0</v>
          </cell>
          <cell r="G8" t="str">
            <v xml:space="preserve">Intel® Pentium N7505 8GB DDR4 / 512GB PCIe® 3.0 SSD / 15.6-inch / FHD (1920 x 1080) 16:9  /  / Indie Black /  / Win 11 Home / MS Office / </v>
          </cell>
          <cell r="H8">
            <v>13995</v>
          </cell>
          <cell r="I8">
            <v>11326</v>
          </cell>
          <cell r="J8">
            <v>12595</v>
          </cell>
          <cell r="K8">
            <v>10193</v>
          </cell>
          <cell r="L8">
            <v>1400</v>
          </cell>
          <cell r="M8">
            <v>1133</v>
          </cell>
          <cell r="N8" t="str">
            <v>01 - 29 MARCH</v>
          </cell>
          <cell r="O8" t="str">
            <v>(NB20260315)_Mar_Sellout Support_RF _Asus_Select</v>
          </cell>
        </row>
        <row r="9">
          <cell r="C9" t="str">
            <v>RF M515DA-BQ322TS</v>
          </cell>
          <cell r="E9" t="str">
            <v>M515DA-BQ322TS</v>
          </cell>
          <cell r="F9" t="str">
            <v>90NB0T42-M20410</v>
          </cell>
          <cell r="G9" t="str">
            <v>R3-3250U//8G/256G PCIe SSD/TRANSPARENT SILVER/15.6"FHD vIPS/1Y international warranty + McAfee/Office H&amp;S/Finger Print/</v>
          </cell>
          <cell r="H9">
            <v>14394</v>
          </cell>
          <cell r="I9">
            <v>11649</v>
          </cell>
          <cell r="J9">
            <v>12714</v>
          </cell>
          <cell r="K9">
            <v>10290</v>
          </cell>
          <cell r="L9">
            <v>1680</v>
          </cell>
          <cell r="M9">
            <v>1359</v>
          </cell>
          <cell r="N9" t="str">
            <v>01 - 29 MARCH</v>
          </cell>
          <cell r="O9" t="str">
            <v>(NB20260315)_Mar_Sellout Support_RF _Asus_Select</v>
          </cell>
        </row>
        <row r="10">
          <cell r="C10" t="str">
            <v>RF M515DA-BR322WS</v>
          </cell>
          <cell r="E10" t="str">
            <v>M515DA-BR322WS</v>
          </cell>
          <cell r="F10" t="str">
            <v>90NB0T42-M009A0</v>
          </cell>
          <cell r="G10" t="str">
            <v xml:space="preserve">R3 3250U /  / 8GB / 256GB SSD / Transparent Silver / 15.6-inch / HD / 1Y International Warranty / McAfee / Win 11 / Office H&amp;S 2021 / FingerPrint /  /  / </v>
          </cell>
          <cell r="H10">
            <v>14394</v>
          </cell>
          <cell r="I10">
            <v>11649</v>
          </cell>
          <cell r="J10">
            <v>12714</v>
          </cell>
          <cell r="K10">
            <v>10290</v>
          </cell>
          <cell r="L10">
            <v>1680</v>
          </cell>
          <cell r="M10">
            <v>1359</v>
          </cell>
          <cell r="N10" t="str">
            <v>01 - 29 MARCH</v>
          </cell>
          <cell r="O10" t="str">
            <v>(NB20260315)_Mar_Sellout Support_RF _Asus_Select</v>
          </cell>
        </row>
        <row r="11">
          <cell r="C11" t="str">
            <v>RF X409FA-BV301T</v>
          </cell>
          <cell r="E11" t="str">
            <v>X409FA-BV301T</v>
          </cell>
          <cell r="F11" t="str">
            <v>90NB0MS2-M09160</v>
          </cell>
          <cell r="G11" t="str">
            <v>i3-10110U//4G/1T/SLATE GREY/14.0" HD/1Y international warranty + McAfee//Finger Print/</v>
          </cell>
          <cell r="H11">
            <v>14394</v>
          </cell>
          <cell r="I11">
            <v>11649</v>
          </cell>
          <cell r="J11">
            <v>12714</v>
          </cell>
          <cell r="K11">
            <v>10290</v>
          </cell>
          <cell r="L11">
            <v>1680</v>
          </cell>
          <cell r="M11">
            <v>1359</v>
          </cell>
          <cell r="N11" t="str">
            <v>01 - 29 MARCH</v>
          </cell>
          <cell r="O11" t="str">
            <v>(NB20260315)_Mar_Sellout Support_RF _Asus_Select</v>
          </cell>
        </row>
        <row r="12">
          <cell r="C12" t="str">
            <v>RF X409FA-EB616T</v>
          </cell>
          <cell r="E12" t="str">
            <v>X409FA-EB616T</v>
          </cell>
          <cell r="F12" t="str">
            <v>90NB0MS2-M09170</v>
          </cell>
          <cell r="G12" t="str">
            <v>i3-10110U//8G/1T/SLATE GREY/14"FHD v_IPS/1Y international warranty + McAfee//Finger Print/</v>
          </cell>
          <cell r="H12">
            <v>14394</v>
          </cell>
          <cell r="I12">
            <v>11649</v>
          </cell>
          <cell r="J12">
            <v>12714</v>
          </cell>
          <cell r="K12">
            <v>10290</v>
          </cell>
          <cell r="L12">
            <v>1680</v>
          </cell>
          <cell r="M12">
            <v>1359</v>
          </cell>
          <cell r="N12" t="str">
            <v>01 - 29 MARCH</v>
          </cell>
          <cell r="O12" t="str">
            <v>(NB20260315)_Mar_Sellout Support_RF _Asus_Select</v>
          </cell>
        </row>
        <row r="13">
          <cell r="C13" t="str">
            <v>RF X409FA-EK617T</v>
          </cell>
          <cell r="E13" t="str">
            <v>X409FA-EK617T</v>
          </cell>
          <cell r="F13" t="str">
            <v>90NB0MS2-M09180</v>
          </cell>
          <cell r="G13" t="str">
            <v>i3-10110U//4G/1T HDD/SLATE GREY/14.0"FHD/1Y international warranty + McAfee//Finger Print/</v>
          </cell>
          <cell r="H13">
            <v>14394</v>
          </cell>
          <cell r="I13">
            <v>11649</v>
          </cell>
          <cell r="J13">
            <v>12714</v>
          </cell>
          <cell r="K13">
            <v>10290</v>
          </cell>
          <cell r="L13">
            <v>1680</v>
          </cell>
          <cell r="M13">
            <v>1359</v>
          </cell>
          <cell r="N13" t="str">
            <v>01 - 29 MARCH</v>
          </cell>
          <cell r="O13" t="str">
            <v>(NB20260315)_Mar_Sellout Support_RF _Asus_Select</v>
          </cell>
        </row>
        <row r="14">
          <cell r="C14" t="str">
            <v>RF X409JA-EK011T</v>
          </cell>
          <cell r="E14" t="str">
            <v>X409JA-EK011T</v>
          </cell>
          <cell r="F14" t="str">
            <v>90NB0Q92-M03990</v>
          </cell>
          <cell r="G14" t="str">
            <v>i3-1005G1//4G/1T/SLATE GREY/14.0"FHD/1Y international warranty//</v>
          </cell>
          <cell r="H14">
            <v>14394</v>
          </cell>
          <cell r="I14">
            <v>11649</v>
          </cell>
          <cell r="J14">
            <v>12714</v>
          </cell>
          <cell r="K14">
            <v>10290</v>
          </cell>
          <cell r="L14">
            <v>1680</v>
          </cell>
          <cell r="M14">
            <v>1359</v>
          </cell>
          <cell r="N14" t="str">
            <v>01 - 29 MARCH</v>
          </cell>
          <cell r="O14" t="str">
            <v>(NB20260315)_Mar_Sellout Support_RF _Asus_Select</v>
          </cell>
        </row>
        <row r="15">
          <cell r="C15" t="str">
            <v>RF X415FA-BV311T</v>
          </cell>
          <cell r="E15" t="str">
            <v>X415FA-BV311T</v>
          </cell>
          <cell r="F15" t="str">
            <v>90NB0W12-M000E0</v>
          </cell>
          <cell r="G15" t="str">
            <v>i3-10110U//8G/1TB HDD/SLATE GREY/14"HD/1Y international warranty + McAfee/Finger Print</v>
          </cell>
          <cell r="H15">
            <v>14394</v>
          </cell>
          <cell r="I15">
            <v>11649</v>
          </cell>
          <cell r="J15">
            <v>12714</v>
          </cell>
          <cell r="K15">
            <v>10290</v>
          </cell>
          <cell r="L15">
            <v>1680</v>
          </cell>
          <cell r="M15">
            <v>1359</v>
          </cell>
          <cell r="N15" t="str">
            <v>01 - 29 MARCH</v>
          </cell>
          <cell r="O15" t="str">
            <v>(NB20260315)_Mar_Sellout Support_RF _Asus_Select</v>
          </cell>
        </row>
        <row r="16">
          <cell r="C16" t="str">
            <v>RF X415FA-BV341T</v>
          </cell>
          <cell r="E16" t="str">
            <v>X415FA-BV341T</v>
          </cell>
          <cell r="F16" t="str">
            <v>90NB0W12-M000U0</v>
          </cell>
          <cell r="G16" t="str">
            <v>i3-10110U//8G/256G PCIe SSD/SLATE GREY/14"HD/1Y international warranty + McAfee/Finger Print</v>
          </cell>
          <cell r="H16">
            <v>14394</v>
          </cell>
          <cell r="I16">
            <v>11649</v>
          </cell>
          <cell r="J16">
            <v>12714</v>
          </cell>
          <cell r="K16">
            <v>10290</v>
          </cell>
          <cell r="L16">
            <v>1680</v>
          </cell>
          <cell r="M16">
            <v>1359</v>
          </cell>
          <cell r="N16" t="str">
            <v>01 - 29 MARCH</v>
          </cell>
          <cell r="O16" t="str">
            <v>(NB20260315)_Mar_Sellout Support_RF _Asus_Select</v>
          </cell>
        </row>
        <row r="17">
          <cell r="C17" t="str">
            <v>RF X415FA-BV341WS</v>
          </cell>
          <cell r="E17" t="str">
            <v>X415FA-BV341WS</v>
          </cell>
          <cell r="F17" t="str">
            <v>90NB0W12-M001H0</v>
          </cell>
          <cell r="G17" t="str">
            <v xml:space="preserve">i3 10110U /  / 8GB / 256GB SSD / Slate Grey / 14.0-inch / HD / 1Y International Warranty / McAfee / Win 11 /  / </v>
          </cell>
          <cell r="H17">
            <v>14394</v>
          </cell>
          <cell r="I17">
            <v>11649</v>
          </cell>
          <cell r="J17">
            <v>12714</v>
          </cell>
          <cell r="K17">
            <v>10290</v>
          </cell>
          <cell r="L17">
            <v>1680</v>
          </cell>
          <cell r="M17">
            <v>1359</v>
          </cell>
          <cell r="N17" t="str">
            <v>01 - 29 MARCH</v>
          </cell>
          <cell r="O17" t="str">
            <v>(NB20260315)_Mar_Sellout Support_RF _Asus_Select</v>
          </cell>
        </row>
        <row r="18">
          <cell r="C18" t="str">
            <v>RF X415JA-BV302W</v>
          </cell>
          <cell r="E18" t="str">
            <v>X415JA-BV302W</v>
          </cell>
          <cell r="F18" t="str">
            <v>90NB0ST1-M005Z0</v>
          </cell>
          <cell r="G18" t="str">
            <v xml:space="preserve">i3 1005G1 /  / 8GB / 1TB HDD / Transparent Silver / 14.0-inch / HD / 1Y International Warranty / McAfee / Win 11 /  / FingerPrint /  /  / </v>
          </cell>
          <cell r="H18">
            <v>14394</v>
          </cell>
          <cell r="I18">
            <v>11649</v>
          </cell>
          <cell r="J18">
            <v>12714</v>
          </cell>
          <cell r="K18">
            <v>10290</v>
          </cell>
          <cell r="L18">
            <v>1680</v>
          </cell>
          <cell r="M18">
            <v>1359</v>
          </cell>
          <cell r="N18" t="str">
            <v>01 - 29 MARCH</v>
          </cell>
          <cell r="O18" t="str">
            <v>(NB20260315)_Mar_Sellout Support_RF _Asus_Select</v>
          </cell>
        </row>
        <row r="19">
          <cell r="C19" t="str">
            <v>RF X509FA-BQ321T</v>
          </cell>
          <cell r="E19" t="str">
            <v>X509FA-BQ321T</v>
          </cell>
          <cell r="F19" t="str">
            <v>90NB0MZ1-M18520</v>
          </cell>
          <cell r="G19" t="str">
            <v>i3-10110U//8G/1T/TRANSPERANT SILVER/15.6" FHD v_IPS/1Y international warranty + McAfee//Finger Print/</v>
          </cell>
          <cell r="H19">
            <v>14394</v>
          </cell>
          <cell r="I19">
            <v>11649</v>
          </cell>
          <cell r="J19">
            <v>12714</v>
          </cell>
          <cell r="K19">
            <v>10290</v>
          </cell>
          <cell r="L19">
            <v>1680</v>
          </cell>
          <cell r="M19">
            <v>1359</v>
          </cell>
          <cell r="N19" t="str">
            <v>01 - 29 MARCH</v>
          </cell>
          <cell r="O19" t="str">
            <v>(NB20260315)_Mar_Sellout Support_RF _Asus_Select</v>
          </cell>
        </row>
        <row r="20">
          <cell r="C20" t="str">
            <v>RF X509FA-BR301T</v>
          </cell>
          <cell r="E20" t="str">
            <v>X509FA-BR301T</v>
          </cell>
          <cell r="F20" t="str">
            <v>90NB0MZ1-M18100</v>
          </cell>
          <cell r="G20" t="str">
            <v>i3-10110U//4G/1T/TRANSPERANT SILVER/15.6" HD/1Y international warranty + McAfee//Finger Print/</v>
          </cell>
          <cell r="H20">
            <v>14394</v>
          </cell>
          <cell r="I20">
            <v>11649</v>
          </cell>
          <cell r="J20">
            <v>12714</v>
          </cell>
          <cell r="K20">
            <v>10290</v>
          </cell>
          <cell r="L20">
            <v>1680</v>
          </cell>
          <cell r="M20">
            <v>1359</v>
          </cell>
          <cell r="N20" t="str">
            <v>01 - 29 MARCH</v>
          </cell>
          <cell r="O20" t="str">
            <v>(NB20260315)_Mar_Sellout Support_RF _Asus_Select</v>
          </cell>
        </row>
        <row r="21">
          <cell r="C21" t="str">
            <v>RF X509FA-EJ311TS</v>
          </cell>
          <cell r="E21" t="str">
            <v>X509FA-EJ311TS</v>
          </cell>
          <cell r="F21" t="str">
            <v>90NB0MZ1-M19600</v>
          </cell>
          <cell r="G21" t="str">
            <v>i3-10110U//4G/1T/TRANSPERANT SILVER/15.6" FHD/1Y international warranty + McAfee/Office H&amp;S/Finger Print/</v>
          </cell>
          <cell r="H21">
            <v>14394</v>
          </cell>
          <cell r="I21">
            <v>11649</v>
          </cell>
          <cell r="J21">
            <v>12714</v>
          </cell>
          <cell r="K21">
            <v>10290</v>
          </cell>
          <cell r="L21">
            <v>1680</v>
          </cell>
          <cell r="M21">
            <v>1359</v>
          </cell>
          <cell r="N21" t="str">
            <v>01 - 29 MARCH</v>
          </cell>
          <cell r="O21" t="str">
            <v>(NB20260315)_Mar_Sellout Support_RF _Asus_Select</v>
          </cell>
        </row>
        <row r="22">
          <cell r="C22" t="str">
            <v>RF X515FA-BR301T</v>
          </cell>
          <cell r="E22" t="str">
            <v>X515FA-BR301T</v>
          </cell>
          <cell r="F22" t="str">
            <v>90NB0W01-M000L0</v>
          </cell>
          <cell r="G22" t="str">
            <v>i3-10110U//4G/1T/SLATE GREY/15.6" HD/1Y international warranty + McAfee//Finger Print/</v>
          </cell>
          <cell r="H22">
            <v>14394</v>
          </cell>
          <cell r="I22">
            <v>11649</v>
          </cell>
          <cell r="J22">
            <v>12714</v>
          </cell>
          <cell r="K22">
            <v>10290</v>
          </cell>
          <cell r="L22">
            <v>1680</v>
          </cell>
          <cell r="M22">
            <v>1359</v>
          </cell>
          <cell r="N22" t="str">
            <v>01 - 29 MARCH</v>
          </cell>
          <cell r="O22" t="str">
            <v>(NB20260315)_Mar_Sellout Support_RF _Asus_Select</v>
          </cell>
        </row>
        <row r="23">
          <cell r="C23" t="str">
            <v>RF X515JA-EJ301T</v>
          </cell>
          <cell r="E23" t="str">
            <v>X515JA-EJ301T</v>
          </cell>
          <cell r="F23" t="str">
            <v>90NB0SR1-M07090</v>
          </cell>
          <cell r="G23" t="str">
            <v>i3-1005G1//4G/1T/SLATE GREY/15.6"FHD/1Y international warranty + McAfee//Finger Print/</v>
          </cell>
          <cell r="H23">
            <v>14394</v>
          </cell>
          <cell r="I23">
            <v>11649</v>
          </cell>
          <cell r="J23">
            <v>12714</v>
          </cell>
          <cell r="K23">
            <v>10290</v>
          </cell>
          <cell r="L23">
            <v>1680</v>
          </cell>
          <cell r="M23">
            <v>1359</v>
          </cell>
          <cell r="N23" t="str">
            <v>01 - 29 MARCH</v>
          </cell>
          <cell r="O23" t="str">
            <v>(NB20260315)_Mar_Sellout Support_RF _Asus_Select</v>
          </cell>
        </row>
        <row r="24">
          <cell r="C24" t="str">
            <v>RF X512DA-BQ302WS</v>
          </cell>
          <cell r="E24" t="str">
            <v>X512DA-BQ302WS</v>
          </cell>
          <cell r="F24" t="str">
            <v>90NB0LZ3-M001J0</v>
          </cell>
          <cell r="G24" t="str">
            <v>R3 3200U /  / 8GB DDR4 / 256GB SSD / 15.6-inch FHD IPS /  / FingerPrint /  / Slate Grey / Win 11 / MS Office</v>
          </cell>
          <cell r="H24">
            <v>14994</v>
          </cell>
          <cell r="I24">
            <v>12135</v>
          </cell>
          <cell r="J24">
            <v>12894</v>
          </cell>
          <cell r="K24">
            <v>10435</v>
          </cell>
          <cell r="L24">
            <v>2100</v>
          </cell>
          <cell r="M24">
            <v>1700</v>
          </cell>
          <cell r="N24" t="str">
            <v>01 - 29 MARCH</v>
          </cell>
          <cell r="O24" t="str">
            <v>(NB20260315)_Mar_Sellout Support_RF _Asus_Select</v>
          </cell>
        </row>
        <row r="25">
          <cell r="C25" t="str">
            <v>RF M415DA-EK322TS</v>
          </cell>
          <cell r="E25" t="str">
            <v>M415DA-EK322TS</v>
          </cell>
          <cell r="F25" t="str">
            <v>90NB0T31-M11760</v>
          </cell>
          <cell r="G25" t="str">
            <v>R3-3250U//8G/256G PCIe SSD/TRANSPARENT SILVER/14"FHD/1Y international warranty + McAfee/Office H&amp;S/Finger Print/</v>
          </cell>
          <cell r="H25">
            <v>14994</v>
          </cell>
          <cell r="I25">
            <v>12135</v>
          </cell>
          <cell r="J25">
            <v>13244</v>
          </cell>
          <cell r="K25">
            <v>10719</v>
          </cell>
          <cell r="L25">
            <v>1750</v>
          </cell>
          <cell r="M25">
            <v>1416</v>
          </cell>
          <cell r="N25" t="str">
            <v>01 - 29 MARCH</v>
          </cell>
          <cell r="O25" t="str">
            <v>(NB20260315)_Mar_Sellout Support_RF _Asus_Select</v>
          </cell>
        </row>
        <row r="26">
          <cell r="C26" t="str">
            <v>RF M509DA-BR301T</v>
          </cell>
          <cell r="E26" t="str">
            <v>M509DA-BR301T</v>
          </cell>
          <cell r="F26" t="str">
            <v>90NB0P52-M27790</v>
          </cell>
          <cell r="G26" t="str">
            <v>R3-3200U//4G/1TB HDD/SLATE GREY/15.6" HD/1Y international warranty//Finger Print/Win 10</v>
          </cell>
          <cell r="H26">
            <v>14994</v>
          </cell>
          <cell r="I26">
            <v>12135</v>
          </cell>
          <cell r="J26">
            <v>13244</v>
          </cell>
          <cell r="K26">
            <v>10719</v>
          </cell>
          <cell r="L26">
            <v>1750</v>
          </cell>
          <cell r="M26">
            <v>1416</v>
          </cell>
          <cell r="N26" t="str">
            <v>01 - 29 MARCH</v>
          </cell>
          <cell r="O26" t="str">
            <v>(NB20260315)_Mar_Sellout Support_RF _Asus_Select</v>
          </cell>
        </row>
        <row r="27">
          <cell r="C27" t="str">
            <v>RF X512DA-BQ303WS</v>
          </cell>
          <cell r="E27" t="str">
            <v>X512DA-BQ303WS</v>
          </cell>
          <cell r="F27" t="str">
            <v>90NB0LZ6-M001F0</v>
          </cell>
          <cell r="G27" t="str">
            <v>R3 3200U /  / 8GB DDR4 / 256GB SSD / 15.6-inch FHD IPS /  / FingerPrint /  / Peacock Blue / Win 11 / MS Office</v>
          </cell>
          <cell r="H27">
            <v>14994</v>
          </cell>
          <cell r="I27">
            <v>12135</v>
          </cell>
          <cell r="J27">
            <v>13244</v>
          </cell>
          <cell r="K27">
            <v>10719</v>
          </cell>
          <cell r="L27">
            <v>1750</v>
          </cell>
          <cell r="M27">
            <v>1416</v>
          </cell>
          <cell r="N27" t="str">
            <v>01 - 29 MARCH</v>
          </cell>
          <cell r="O27" t="str">
            <v>(NB20260315)_Mar_Sellout Support_RF _Asus_Select</v>
          </cell>
        </row>
        <row r="28">
          <cell r="C28" t="str">
            <v>RF X512DA-BQ313WS</v>
          </cell>
          <cell r="E28" t="str">
            <v>X512DA-BQ313WS</v>
          </cell>
          <cell r="F28" t="str">
            <v>90NB0LZ6-M001E0</v>
          </cell>
          <cell r="G28" t="str">
            <v>R3 3200U /  / 8GB DDR4 / 512GB SSD / 15.6-inch FHD IPS /  / FingerPrint /  / Peacock Blue / Win 11 / MS Office</v>
          </cell>
          <cell r="H28">
            <v>14994</v>
          </cell>
          <cell r="I28">
            <v>12135</v>
          </cell>
          <cell r="J28">
            <v>13244</v>
          </cell>
          <cell r="K28">
            <v>10719</v>
          </cell>
          <cell r="L28">
            <v>1750</v>
          </cell>
          <cell r="M28">
            <v>1416</v>
          </cell>
          <cell r="N28" t="str">
            <v>01 - 29 MARCH</v>
          </cell>
          <cell r="O28" t="str">
            <v>(NB20260315)_Mar_Sellout Support_RF _Asus_Select</v>
          </cell>
        </row>
        <row r="29">
          <cell r="C29" t="str">
            <v>RF X515JA-EJ322TS</v>
          </cell>
          <cell r="E29" t="str">
            <v>X515JA-EJ322TS</v>
          </cell>
          <cell r="F29" t="str">
            <v>90NB0SR2-M07220</v>
          </cell>
          <cell r="G29" t="str">
            <v>i3-1005G1//8G/1TB HDD/TRANSPARENT SILVER/15.6"FHD/1Y international warranty + McAfee/Office H&amp;S/Finger Print/</v>
          </cell>
          <cell r="H29">
            <v>14994</v>
          </cell>
          <cell r="I29">
            <v>12135</v>
          </cell>
          <cell r="J29">
            <v>13244</v>
          </cell>
          <cell r="K29">
            <v>10719</v>
          </cell>
          <cell r="L29">
            <v>1750</v>
          </cell>
          <cell r="M29">
            <v>1416</v>
          </cell>
          <cell r="N29" t="str">
            <v>01 - 29 MARCH</v>
          </cell>
          <cell r="O29" t="str">
            <v>(NB20260315)_Mar_Sellout Support_RF _Asus_Select</v>
          </cell>
        </row>
        <row r="30">
          <cell r="C30" t="str">
            <v>RF X515MA-BR101T</v>
          </cell>
          <cell r="E30" t="str">
            <v>X515MA-BR101T</v>
          </cell>
          <cell r="F30" t="str">
            <v>90NB0TH2-M10280</v>
          </cell>
          <cell r="G30" t="str">
            <v>PQC-N5030//4G/1T/TRANSPARENT SILVER/15.6"HD/1Y international warranty + McAfee//</v>
          </cell>
          <cell r="H30">
            <v>14394</v>
          </cell>
          <cell r="I30">
            <v>11649</v>
          </cell>
          <cell r="J30">
            <v>13694</v>
          </cell>
          <cell r="K30">
            <v>11083</v>
          </cell>
          <cell r="L30">
            <v>700</v>
          </cell>
          <cell r="M30">
            <v>566</v>
          </cell>
          <cell r="N30" t="str">
            <v>01 - 29 MARCH</v>
          </cell>
          <cell r="O30" t="str">
            <v>(NB20260315)_Mar_Sellout Support_RF _Asus_Select</v>
          </cell>
        </row>
        <row r="31">
          <cell r="C31" t="str">
            <v>RF X413JA-EB302T</v>
          </cell>
          <cell r="E31" t="str">
            <v>X413JA-EB302T</v>
          </cell>
          <cell r="F31" t="str">
            <v>90NB0RC7-M05340</v>
          </cell>
          <cell r="G31" t="str">
            <v>i3-1005G1//4G/512G PCIe SSD/BESPOKE BLACK/14" FHD vIPS/1Y international warranty//Finger Print/Backlit KB</v>
          </cell>
          <cell r="H31">
            <v>15594</v>
          </cell>
          <cell r="I31">
            <v>12621</v>
          </cell>
          <cell r="J31">
            <v>13774</v>
          </cell>
          <cell r="K31">
            <v>11148</v>
          </cell>
          <cell r="L31">
            <v>1820</v>
          </cell>
          <cell r="M31">
            <v>1473</v>
          </cell>
          <cell r="N31" t="str">
            <v>01 - 29 MARCH</v>
          </cell>
          <cell r="O31" t="str">
            <v>(NB20260315)_Mar_Sellout Support_RF _Asus_Select</v>
          </cell>
        </row>
        <row r="32">
          <cell r="C32" t="str">
            <v>RF X415FA-BV311W</v>
          </cell>
          <cell r="E32" t="str">
            <v>X415FA-BV311W</v>
          </cell>
          <cell r="F32" t="str">
            <v>90NB0W12-M001F0</v>
          </cell>
          <cell r="G32" t="str">
            <v>i3-10110U//8G/1TB HDD/SLATE GREY/14"HD/1Y international warranty + McAfee/Finger Print</v>
          </cell>
          <cell r="H32">
            <v>15594</v>
          </cell>
          <cell r="I32">
            <v>12621</v>
          </cell>
          <cell r="J32">
            <v>13774</v>
          </cell>
          <cell r="K32">
            <v>11148</v>
          </cell>
          <cell r="L32">
            <v>1820</v>
          </cell>
          <cell r="M32">
            <v>1473</v>
          </cell>
          <cell r="N32" t="str">
            <v>01 - 29 MARCH</v>
          </cell>
          <cell r="O32" t="str">
            <v>(NB20260315)_Mar_Sellout Support_RF _Asus_Select</v>
          </cell>
        </row>
        <row r="33">
          <cell r="C33" t="str">
            <v>RF X415JA-BV301WS</v>
          </cell>
          <cell r="E33" t="str">
            <v>X415JA-BV301WS</v>
          </cell>
          <cell r="F33" t="str">
            <v>90NB0ST2-M006D0</v>
          </cell>
          <cell r="G33" t="str">
            <v xml:space="preserve">i3 1005G1 /  / 8GB / 1TB HDD / Slate Grey / 14.0-inch / HD / 1Y International Warranty / McAfee / Win 11 / Office H&amp;S 2021 / FingerPrint /  /  / </v>
          </cell>
          <cell r="H33">
            <v>15594</v>
          </cell>
          <cell r="I33">
            <v>12621</v>
          </cell>
          <cell r="J33">
            <v>13774</v>
          </cell>
          <cell r="K33">
            <v>11148</v>
          </cell>
          <cell r="L33">
            <v>1820</v>
          </cell>
          <cell r="M33">
            <v>1473</v>
          </cell>
          <cell r="N33" t="str">
            <v>01 - 29 MARCH</v>
          </cell>
          <cell r="O33" t="str">
            <v>(NB20260315)_Mar_Sellout Support_RF _Asus_Select</v>
          </cell>
        </row>
        <row r="34">
          <cell r="C34" t="str">
            <v>RF X415JA-BV302WS</v>
          </cell>
          <cell r="E34" t="str">
            <v>X415JA-BV302WS</v>
          </cell>
          <cell r="F34" t="str">
            <v>90NB0ST1-M005Y0</v>
          </cell>
          <cell r="G34" t="str">
            <v xml:space="preserve">i3 1005G1 /  / 8GB / 1TB HDD / Transparent Silver / 14.0-inch / HD / 1Y International Warranty / McAfee / Win 11 / Office H&amp;S 2021 / FingerPrint /  /  / </v>
          </cell>
          <cell r="H34">
            <v>15594</v>
          </cell>
          <cell r="I34">
            <v>12621</v>
          </cell>
          <cell r="J34">
            <v>13774</v>
          </cell>
          <cell r="K34">
            <v>11148</v>
          </cell>
          <cell r="L34">
            <v>1820</v>
          </cell>
          <cell r="M34">
            <v>1473</v>
          </cell>
          <cell r="N34" t="str">
            <v>01 - 29 MARCH</v>
          </cell>
          <cell r="O34" t="str">
            <v>(NB20260315)_Mar_Sellout Support_RF _Asus_Select</v>
          </cell>
        </row>
        <row r="35">
          <cell r="C35" t="str">
            <v>RF X415JA-BV311WS</v>
          </cell>
          <cell r="E35" t="str">
            <v>X415JA-BV311WS</v>
          </cell>
          <cell r="F35" t="str">
            <v>90NB0ST2-M006A0</v>
          </cell>
          <cell r="G35" t="str">
            <v xml:space="preserve">i3 1005G1 /  / 8GB / 256GB SSD / Slate Grey / 14.0-inch / HD / 1Y International Warranty / McAfee / Win 11 / Office H&amp;S 2021 / FingerPrint /  /  / </v>
          </cell>
          <cell r="H35">
            <v>15594</v>
          </cell>
          <cell r="I35">
            <v>12621</v>
          </cell>
          <cell r="J35">
            <v>13774</v>
          </cell>
          <cell r="K35">
            <v>11148</v>
          </cell>
          <cell r="L35">
            <v>1820</v>
          </cell>
          <cell r="M35">
            <v>1473</v>
          </cell>
          <cell r="N35" t="str">
            <v>01 - 29 MARCH</v>
          </cell>
          <cell r="O35" t="str">
            <v>(NB20260315)_Mar_Sellout Support_RF _Asus_Select</v>
          </cell>
        </row>
        <row r="36">
          <cell r="C36" t="str">
            <v>RF X415JA-EK312TS</v>
          </cell>
          <cell r="E36" t="str">
            <v>X415JA-EK312TS</v>
          </cell>
          <cell r="F36" t="str">
            <v>90NB0ST1-M02770</v>
          </cell>
          <cell r="G36" t="str">
            <v>i3-1005G1//4G/256 PCIe SSD/TRANSPARENT SILVER/14" FHD/1Y international warranty + McAfee/Office H&amp;S/Finger Print/</v>
          </cell>
          <cell r="H36">
            <v>15594</v>
          </cell>
          <cell r="I36">
            <v>12621</v>
          </cell>
          <cell r="J36">
            <v>13774</v>
          </cell>
          <cell r="K36">
            <v>11148</v>
          </cell>
          <cell r="L36">
            <v>1820</v>
          </cell>
          <cell r="M36">
            <v>1473</v>
          </cell>
          <cell r="N36" t="str">
            <v>01 - 29 MARCH</v>
          </cell>
          <cell r="O36" t="str">
            <v>(NB20260315)_Mar_Sellout Support_RF _Asus_Select</v>
          </cell>
        </row>
        <row r="37">
          <cell r="C37" t="str">
            <v>RF X515JA-BQ302W</v>
          </cell>
          <cell r="E37" t="str">
            <v>X515JA-BQ302W</v>
          </cell>
          <cell r="F37" t="str">
            <v>90NB0SR2-M00R30</v>
          </cell>
          <cell r="G37" t="str">
            <v xml:space="preserve">i3 1005G1 /  / 8GB / 1TB HDD / Transparent Silver / 15.6-inch / FHD v_IPS / 1Y International Warranty / McAfee / Win 11 /  / FingerPrint /  /  / </v>
          </cell>
          <cell r="H37">
            <v>15594</v>
          </cell>
          <cell r="I37">
            <v>12621</v>
          </cell>
          <cell r="J37">
            <v>13774</v>
          </cell>
          <cell r="K37">
            <v>11148</v>
          </cell>
          <cell r="L37">
            <v>1820</v>
          </cell>
          <cell r="M37">
            <v>1473</v>
          </cell>
          <cell r="N37" t="str">
            <v>01 - 29 MARCH</v>
          </cell>
          <cell r="O37" t="str">
            <v>(NB20260315)_Mar_Sellout Support_RF _Asus_Select</v>
          </cell>
        </row>
        <row r="38">
          <cell r="C38" t="str">
            <v>RF X515JA-EJ302TS</v>
          </cell>
          <cell r="E38" t="str">
            <v>X515JA-EJ302TS</v>
          </cell>
          <cell r="F38" t="str">
            <v>90NB0SR2-M07210</v>
          </cell>
          <cell r="G38" t="str">
            <v>i3-1005G1//4G/1T/TRANSPARENT SILVER/15.6"FHD/1Y international warranty + McAfee/Office H&amp;S/Finger Print/</v>
          </cell>
          <cell r="H38">
            <v>15594</v>
          </cell>
          <cell r="I38">
            <v>12621</v>
          </cell>
          <cell r="J38">
            <v>13774</v>
          </cell>
          <cell r="K38">
            <v>11148</v>
          </cell>
          <cell r="L38">
            <v>1820</v>
          </cell>
          <cell r="M38">
            <v>1473</v>
          </cell>
          <cell r="N38" t="str">
            <v>01 - 29 MARCH</v>
          </cell>
          <cell r="O38" t="str">
            <v>(NB20260315)_Mar_Sellout Support_RF _Asus_Select</v>
          </cell>
        </row>
        <row r="39">
          <cell r="C39" t="str">
            <v>RF X515JA-EJ321T</v>
          </cell>
          <cell r="E39" t="str">
            <v>X515JA-EJ321T</v>
          </cell>
          <cell r="F39" t="str">
            <v>90NB0SR1-M07150</v>
          </cell>
          <cell r="G39" t="str">
            <v>i3-1005G1//8G/1TB HDD/SLATE GREY/15.6"FHD/1Y international warranty + McAfee//Finger Print/</v>
          </cell>
          <cell r="H39">
            <v>15594</v>
          </cell>
          <cell r="I39">
            <v>12621</v>
          </cell>
          <cell r="J39">
            <v>13774</v>
          </cell>
          <cell r="K39">
            <v>11148</v>
          </cell>
          <cell r="L39">
            <v>1820</v>
          </cell>
          <cell r="M39">
            <v>1473</v>
          </cell>
          <cell r="N39" t="str">
            <v>01 - 29 MARCH</v>
          </cell>
          <cell r="O39" t="str">
            <v>(NB20260315)_Mar_Sellout Support_RF _Asus_Select</v>
          </cell>
        </row>
        <row r="40">
          <cell r="C40" t="str">
            <v>RF X541UV-XO029D</v>
          </cell>
          <cell r="E40" t="str">
            <v>X541UV-XO029D</v>
          </cell>
          <cell r="F40" t="str">
            <v>90NB0CG1-M03460</v>
          </cell>
          <cell r="G40" t="str">
            <v>INTEL I5-6198DU/15.6 HD/NVIDIA® GeForce® 920MX/4G/1TB HDD</v>
          </cell>
          <cell r="H40">
            <v>15594</v>
          </cell>
          <cell r="I40">
            <v>12621</v>
          </cell>
          <cell r="J40">
            <v>13774</v>
          </cell>
          <cell r="K40">
            <v>11148</v>
          </cell>
          <cell r="L40">
            <v>1820</v>
          </cell>
          <cell r="M40">
            <v>1473</v>
          </cell>
          <cell r="N40" t="str">
            <v>01 - 29 MARCH</v>
          </cell>
          <cell r="O40" t="str">
            <v>(NB20260315)_Mar_Sellout Support_RF _Asus_Select</v>
          </cell>
        </row>
        <row r="41">
          <cell r="C41" t="str">
            <v>RF E510MA-EJ011WS</v>
          </cell>
          <cell r="E41" t="str">
            <v>E510MA-EJ011WS</v>
          </cell>
          <cell r="F41" t="str">
            <v>90NB0Q65-M013T0</v>
          </cell>
          <cell r="G41" t="str">
            <v xml:space="preserve">Intel® Celeron® N4020 4GB DDR4  / 256GB PCIe® 3.0 SSD / 15.6-inch / FHD (1920 x 1080) 16:9  /  / Star Black /  /  / FingerPrint /  / Win 11 Home / MS Office / </v>
          </cell>
          <cell r="H41">
            <v>15393</v>
          </cell>
          <cell r="I41">
            <v>12458</v>
          </cell>
          <cell r="J41">
            <v>13853</v>
          </cell>
          <cell r="K41">
            <v>11212</v>
          </cell>
          <cell r="L41">
            <v>1540</v>
          </cell>
          <cell r="M41">
            <v>1246</v>
          </cell>
          <cell r="N41" t="str">
            <v>01 - 29 MARCH</v>
          </cell>
          <cell r="O41" t="str">
            <v>(NB20260315)_Mar_Sellout Support_RF _Asus_Select</v>
          </cell>
        </row>
        <row r="42">
          <cell r="C42" t="str">
            <v>RF E510MA-EJ011WS</v>
          </cell>
          <cell r="E42" t="str">
            <v>E510MA-EJ011WS</v>
          </cell>
          <cell r="F42" t="str">
            <v>90NB0Q65-M010F0</v>
          </cell>
          <cell r="G42" t="str">
            <v xml:space="preserve">Intel® Celeron® N4020 4GB DDR4  / 256GB PCIe® 3.0 SSD / 15.6-inch / FHD (1920 x 1080) 16:9  /  / Star Black /  /  / FingerPrint /  / Win 11 Home / MS Office / </v>
          </cell>
          <cell r="H42">
            <v>15393</v>
          </cell>
          <cell r="I42">
            <v>12458</v>
          </cell>
          <cell r="J42">
            <v>13853</v>
          </cell>
          <cell r="K42">
            <v>11212</v>
          </cell>
          <cell r="L42">
            <v>1540</v>
          </cell>
          <cell r="M42">
            <v>1246</v>
          </cell>
          <cell r="N42" t="str">
            <v>01 - 29 MARCH</v>
          </cell>
          <cell r="O42" t="str">
            <v>(NB20260315)_Mar_Sellout Support_RF _Asus_Select</v>
          </cell>
        </row>
        <row r="43">
          <cell r="C43" t="str">
            <v>RF X515MA-BR002T</v>
          </cell>
          <cell r="E43" t="str">
            <v>X515MA-BR002T</v>
          </cell>
          <cell r="F43" t="str">
            <v>90NB0TH2-M07350</v>
          </cell>
          <cell r="G43" t="str">
            <v>N4020//4G/256SSD/TRANSPARENT SILVER/15.6" HD/1Y international warranty + McAfee//</v>
          </cell>
          <cell r="H43">
            <v>15393</v>
          </cell>
          <cell r="I43">
            <v>12458</v>
          </cell>
          <cell r="J43">
            <v>13993</v>
          </cell>
          <cell r="K43">
            <v>11325</v>
          </cell>
          <cell r="L43">
            <v>1400</v>
          </cell>
          <cell r="M43">
            <v>1133</v>
          </cell>
          <cell r="N43" t="str">
            <v>01 - 29 MARCH</v>
          </cell>
          <cell r="O43" t="str">
            <v>(NB20260315)_Mar_Sellout Support_RF _Asus_Select</v>
          </cell>
        </row>
        <row r="44">
          <cell r="C44" t="str">
            <v>RF T3300KA-LQ122WS</v>
          </cell>
          <cell r="E44" t="str">
            <v>T3300KA-LQ122WS</v>
          </cell>
          <cell r="F44" t="str">
            <v>90NB0VC2-M002Y0</v>
          </cell>
          <cell r="G44" t="str">
            <v xml:space="preserve">PQC N6000 /  / 4GB / 128G eMMC / Black / 13.3-inch Touch / FHD OLED  / 1Y International Warranty / McAfee / Win 11 / Office H&amp;S 2021 / </v>
          </cell>
          <cell r="H44">
            <v>14994</v>
          </cell>
          <cell r="I44">
            <v>12135</v>
          </cell>
          <cell r="J44">
            <v>14294</v>
          </cell>
          <cell r="K44">
            <v>11568</v>
          </cell>
          <cell r="L44">
            <v>700</v>
          </cell>
          <cell r="M44">
            <v>567</v>
          </cell>
          <cell r="N44" t="str">
            <v>01 - 29 MARCH</v>
          </cell>
          <cell r="O44" t="str">
            <v>(NB20260315)_Mar_Sellout Support_RF _Asus_Select</v>
          </cell>
        </row>
        <row r="45">
          <cell r="C45" t="str">
            <v>RF X415MA-EK111TS</v>
          </cell>
          <cell r="E45" t="str">
            <v>X415MA-EK111TS</v>
          </cell>
          <cell r="F45" t="str">
            <v>90NB0TG1-M08220</v>
          </cell>
          <cell r="G45" t="str">
            <v>PQC-N5030//4G/256 PCIe SSD/TRANSPARENT SILVER/14.0" FHD/1Y international warranty + McAfee/Office H&amp;S/</v>
          </cell>
          <cell r="H45">
            <v>14994</v>
          </cell>
          <cell r="I45">
            <v>12135</v>
          </cell>
          <cell r="J45">
            <v>14294</v>
          </cell>
          <cell r="K45">
            <v>11568</v>
          </cell>
          <cell r="L45">
            <v>700</v>
          </cell>
          <cell r="M45">
            <v>567</v>
          </cell>
          <cell r="N45" t="str">
            <v>01 - 29 MARCH</v>
          </cell>
          <cell r="O45" t="str">
            <v>(NB20260315)_Mar_Sellout Support_RF _Asus_Select</v>
          </cell>
        </row>
        <row r="46">
          <cell r="C46" t="str">
            <v>RF M515DA-EJ312TS</v>
          </cell>
          <cell r="E46" t="str">
            <v>M515DA-EJ312TS</v>
          </cell>
          <cell r="F46" t="str">
            <v>90NB0T42-M03200</v>
          </cell>
          <cell r="G46" t="str">
            <v>R3-3250U//4G/256G PCIe SSD/TRANSPARENT SILVER/15.6"FHD/1Y international warranty + McAfee/Office H&amp;S/Finger Print/</v>
          </cell>
          <cell r="H46">
            <v>16194</v>
          </cell>
          <cell r="I46">
            <v>13106</v>
          </cell>
          <cell r="J46">
            <v>14304</v>
          </cell>
          <cell r="K46">
            <v>11577</v>
          </cell>
          <cell r="L46">
            <v>1890</v>
          </cell>
          <cell r="M46">
            <v>1529</v>
          </cell>
          <cell r="N46" t="str">
            <v>01 - 29 MARCH</v>
          </cell>
          <cell r="O46" t="str">
            <v>(NB20260315)_Mar_Sellout Support_RF _Asus_Select</v>
          </cell>
        </row>
        <row r="47">
          <cell r="C47" t="str">
            <v>RF E410KA-EK013W</v>
          </cell>
          <cell r="E47" t="str">
            <v>E410KA-EK013W</v>
          </cell>
          <cell r="F47" t="str">
            <v>90NB0UA5-M00LM0</v>
          </cell>
          <cell r="G47" t="str">
            <v xml:space="preserve">Intel® Celeron® N4500 8GB DDR4  / 256GB PCIe® 3.0 SSD / 14.0-inch / FHD (1920 x 1080) 16:9  /  / Black / NumberPad / Win 11 Home /  / </v>
          </cell>
          <cell r="H47">
            <v>16093</v>
          </cell>
          <cell r="I47">
            <v>13024</v>
          </cell>
          <cell r="J47">
            <v>14483</v>
          </cell>
          <cell r="K47">
            <v>11721</v>
          </cell>
          <cell r="L47">
            <v>1610</v>
          </cell>
          <cell r="M47">
            <v>1303</v>
          </cell>
          <cell r="N47" t="str">
            <v>01 - 29 MARCH</v>
          </cell>
          <cell r="O47" t="str">
            <v>(NB20260315)_Mar_Sellout Support_RF _Asus_Select</v>
          </cell>
        </row>
        <row r="48">
          <cell r="C48" t="str">
            <v>RF X415JA-EK324WS</v>
          </cell>
          <cell r="E48" t="str">
            <v>X415JA-EK324WS</v>
          </cell>
          <cell r="F48" t="str">
            <v>90NB0ST2-M00YL0</v>
          </cell>
          <cell r="G48" t="str">
            <v>Intel® Core™ i3-1005G1  / Integrated Graphics /  / Slate Grey / 14.0-inch / FHD (1920 x 1080) 16:9 aspect ratio / 8GB DDR4 / 512GB M.2 NVMe™ PCIe® 3.0 SSD
HDD housing for storage expansion / FingerPrint / Chiclet Keyboard /  / Windows 11 Home / Office Home and Student 2021 included</v>
          </cell>
          <cell r="H48">
            <v>16794</v>
          </cell>
          <cell r="I48">
            <v>13592</v>
          </cell>
          <cell r="J48">
            <v>14834</v>
          </cell>
          <cell r="K48">
            <v>12005</v>
          </cell>
          <cell r="L48">
            <v>1960</v>
          </cell>
          <cell r="M48">
            <v>1587</v>
          </cell>
          <cell r="N48" t="str">
            <v>01 - 29 MARCH</v>
          </cell>
          <cell r="O48" t="str">
            <v>(NB20260315)_Mar_Sellout Support_RF _Asus_Select</v>
          </cell>
        </row>
        <row r="49">
          <cell r="C49" t="str">
            <v>RF X515JA-EJ382WS</v>
          </cell>
          <cell r="E49" t="str">
            <v>X515JA-EJ382WS</v>
          </cell>
          <cell r="F49" t="str">
            <v>90NB0SR2-M01ZF0</v>
          </cell>
          <cell r="G49" t="str">
            <v>Intel® Core™ i3-1005G1  / Intel® UHD Graphics / Transparent Silver / 8GB DDR4 / 512GB SSD / 15.6-inch / FHD  / FingerPrint / Windows 11 Home / Office Home and Student 2021</v>
          </cell>
          <cell r="H49">
            <v>16794</v>
          </cell>
          <cell r="I49">
            <v>13592</v>
          </cell>
          <cell r="J49">
            <v>14834</v>
          </cell>
          <cell r="K49">
            <v>12005</v>
          </cell>
          <cell r="L49">
            <v>1960</v>
          </cell>
          <cell r="M49">
            <v>1587</v>
          </cell>
          <cell r="N49" t="str">
            <v>01 - 29 MARCH</v>
          </cell>
          <cell r="O49" t="str">
            <v>(NB20260315)_Mar_Sellout Support_RF _Asus_Select</v>
          </cell>
        </row>
        <row r="50">
          <cell r="C50" t="str">
            <v>RF E410KA-BV103WS</v>
          </cell>
          <cell r="E50" t="str">
            <v>E410KA-BV103WS</v>
          </cell>
          <cell r="F50" t="str">
            <v>90NB0UA5-M004J0</v>
          </cell>
          <cell r="G50" t="str">
            <v xml:space="preserve">PQC N6000 /  / 8GB / 256GB SSD / Star Black / 14.0-inch / HD / 1Y International Warranty / McAfee / Win 11 / Office H&amp;S 2021 /  /  / Numberpad / </v>
          </cell>
          <cell r="H50">
            <v>15594</v>
          </cell>
          <cell r="I50">
            <v>12621</v>
          </cell>
          <cell r="J50">
            <v>14894</v>
          </cell>
          <cell r="K50">
            <v>12054</v>
          </cell>
          <cell r="L50">
            <v>700</v>
          </cell>
          <cell r="M50">
            <v>567</v>
          </cell>
          <cell r="N50" t="str">
            <v>01 - 29 MARCH</v>
          </cell>
          <cell r="O50" t="str">
            <v>(NB20260315)_Mar_Sellout Support_RF _Asus_Select</v>
          </cell>
        </row>
        <row r="51">
          <cell r="C51" t="str">
            <v>RF X1500EA-EJ111WS</v>
          </cell>
          <cell r="E51" t="str">
            <v>X1500EA-EJ111WS</v>
          </cell>
          <cell r="F51" t="str">
            <v>90NB0TY5-M04PU0</v>
          </cell>
          <cell r="G51" t="str">
            <v xml:space="preserve">Intel® Pentium N7505 8GB DDR4 / 256GB PCIe® 3.0 SSD / 15.6-inch / FHD (1920 x 1080) 16:9  /  / Indie Black /  / Win 11 Home / MS Office / </v>
          </cell>
          <cell r="H51">
            <v>15594</v>
          </cell>
          <cell r="I51">
            <v>12621</v>
          </cell>
          <cell r="J51">
            <v>14894</v>
          </cell>
          <cell r="K51">
            <v>12054</v>
          </cell>
          <cell r="L51">
            <v>700</v>
          </cell>
          <cell r="M51">
            <v>567</v>
          </cell>
          <cell r="N51" t="str">
            <v>01 - 29 MARCH</v>
          </cell>
          <cell r="O51" t="str">
            <v>(NB20260315)_Mar_Sellout Support_RF _Asus_Select</v>
          </cell>
        </row>
        <row r="52">
          <cell r="C52" t="str">
            <v>RF X415KA-BV121WS</v>
          </cell>
          <cell r="E52" t="str">
            <v>X415KA-BV121WS</v>
          </cell>
          <cell r="F52" t="str">
            <v>90NB0VH1-M002R0</v>
          </cell>
          <cell r="G52" t="str">
            <v xml:space="preserve">PQC N6000 /  / 8GB / 256GB SSD / Transparent Silver / 14.0-inch / HD / 1Y International Warranty / McAfee / Win 11 / Office H&amp;S 2021 / FingerPrint /  /  / </v>
          </cell>
          <cell r="H52">
            <v>15594</v>
          </cell>
          <cell r="I52">
            <v>12621</v>
          </cell>
          <cell r="J52">
            <v>14894</v>
          </cell>
          <cell r="K52">
            <v>12054</v>
          </cell>
          <cell r="L52">
            <v>700</v>
          </cell>
          <cell r="M52">
            <v>567</v>
          </cell>
          <cell r="N52" t="str">
            <v>01 - 29 MARCH</v>
          </cell>
          <cell r="O52" t="str">
            <v>(NB20260315)_Mar_Sellout Support_RF _Asus_Select</v>
          </cell>
        </row>
        <row r="53">
          <cell r="C53" t="str">
            <v>RF X512DA-BQ301WS</v>
          </cell>
          <cell r="E53" t="str">
            <v>X512DA-BQ301WS</v>
          </cell>
          <cell r="F53" t="str">
            <v>90NB0LZ2-M001H0</v>
          </cell>
          <cell r="G53" t="str">
            <v>R3 3200U /  / 8GB DDR4 / 256GB SSD / 15.6-inch FHD IPS /  / FingerPrint /  / Transparent Silver / Win 11 / MS Office</v>
          </cell>
          <cell r="H53">
            <v>17394</v>
          </cell>
          <cell r="I53">
            <v>14077</v>
          </cell>
          <cell r="J53">
            <v>15364</v>
          </cell>
          <cell r="K53">
            <v>12434</v>
          </cell>
          <cell r="L53">
            <v>2030</v>
          </cell>
          <cell r="M53">
            <v>1643</v>
          </cell>
          <cell r="N53" t="str">
            <v>01 - 29 MARCH</v>
          </cell>
          <cell r="O53" t="str">
            <v>(NB20260315)_Mar_Sellout Support_RF _Asus_Select</v>
          </cell>
        </row>
        <row r="54">
          <cell r="C54" t="str">
            <v>RF X415MA-BV102WS</v>
          </cell>
          <cell r="E54" t="str">
            <v>X415MA-BV102WS</v>
          </cell>
          <cell r="F54" t="str">
            <v>90NB0TG2-M006Z0</v>
          </cell>
          <cell r="G54" t="str">
            <v>PQC-N5030//8G/256 PCIe SSD/SLATE GREY/14.0" HD/1Y international warranty + McAfee/Win 11 + Office H&amp;S/Finger Print</v>
          </cell>
          <cell r="H54">
            <v>16794</v>
          </cell>
          <cell r="I54">
            <v>13592</v>
          </cell>
          <cell r="J54">
            <v>15394</v>
          </cell>
          <cell r="K54">
            <v>12459</v>
          </cell>
          <cell r="L54">
            <v>1400</v>
          </cell>
          <cell r="M54">
            <v>1133</v>
          </cell>
          <cell r="N54" t="str">
            <v>01 - 29 MARCH</v>
          </cell>
          <cell r="O54" t="str">
            <v>(NB20260315)_Mar_Sellout Support_RF _Asus_Select</v>
          </cell>
        </row>
        <row r="55">
          <cell r="C55" t="str">
            <v>RF X415EA-EK302TS</v>
          </cell>
          <cell r="E55" t="str">
            <v>X415EA-EK302TS</v>
          </cell>
          <cell r="F55" t="str">
            <v>90NB0TT1-M01500</v>
          </cell>
          <cell r="G55" t="str">
            <v>i3-1115G4//4G/256G PCIe SSD/TRANSPARENT SILVER/14"FHD/1Y international warranty + McAfee/Office H&amp;S/Finger Print/</v>
          </cell>
          <cell r="H55">
            <v>18193</v>
          </cell>
          <cell r="I55">
            <v>14724</v>
          </cell>
          <cell r="J55">
            <v>16373</v>
          </cell>
          <cell r="K55">
            <v>13251</v>
          </cell>
          <cell r="L55">
            <v>1820</v>
          </cell>
          <cell r="M55">
            <v>1473</v>
          </cell>
          <cell r="N55" t="str">
            <v>01 - 29 MARCH</v>
          </cell>
          <cell r="O55" t="str">
            <v>(NB20260315)_Mar_Sellout Support_RF _Asus_Select</v>
          </cell>
        </row>
        <row r="56">
          <cell r="C56" t="str">
            <v>RF M415DA-EB301T</v>
          </cell>
          <cell r="E56" t="str">
            <v>M415DA-EB301T</v>
          </cell>
          <cell r="F56" t="str">
            <v>90NB0T32-M01890</v>
          </cell>
          <cell r="G56" t="str">
            <v>R3-3250U//4G/1TB HDD/SLATE GREY/14.0"FHD vIPS/1Y international warranty + McAfee//Finger Print/Win 10</v>
          </cell>
          <cell r="H56">
            <v>19194</v>
          </cell>
          <cell r="I56">
            <v>15534</v>
          </cell>
          <cell r="J56">
            <v>16394</v>
          </cell>
          <cell r="K56">
            <v>13268</v>
          </cell>
          <cell r="L56">
            <v>2800</v>
          </cell>
          <cell r="M56">
            <v>2266</v>
          </cell>
          <cell r="N56" t="str">
            <v>01 - 29 MARCH</v>
          </cell>
          <cell r="O56" t="str">
            <v>(NB20260315)_Mar_Sellout Support_RF _Asus_Select</v>
          </cell>
        </row>
        <row r="57">
          <cell r="C57" t="str">
            <v>RF M515DA-BQ331WS</v>
          </cell>
          <cell r="E57" t="str">
            <v>M515DA-BQ331WS</v>
          </cell>
          <cell r="F57" t="str">
            <v>90NB0T41-M00CY0</v>
          </cell>
          <cell r="G57" t="str">
            <v>R3 3250U /  / 8GB DDR4 / 512GB SSD / 15.6-inch FHD IPS /  / FingerPrint /  / Slate Grey / Win 11 / MS Office</v>
          </cell>
          <cell r="H57">
            <v>18594</v>
          </cell>
          <cell r="I57">
            <v>15049</v>
          </cell>
          <cell r="J57">
            <v>16424</v>
          </cell>
          <cell r="K57">
            <v>13292</v>
          </cell>
          <cell r="L57">
            <v>2170</v>
          </cell>
          <cell r="M57">
            <v>1757</v>
          </cell>
          <cell r="N57" t="str">
            <v>01 - 29 MARCH</v>
          </cell>
          <cell r="O57" t="str">
            <v>(NB20260315)_Mar_Sellout Support_RF _Asus_Select</v>
          </cell>
        </row>
        <row r="58">
          <cell r="C58" t="str">
            <v>RF M515DA-BQ332WS</v>
          </cell>
          <cell r="E58" t="str">
            <v>M515DA-BQ332WS</v>
          </cell>
          <cell r="F58" t="str">
            <v>90NB0T42-M00DX0</v>
          </cell>
          <cell r="G58" t="str">
            <v>R3-3250U//8G/512G PCIe SSD/TRANSPARENT SILVER/15.6"FHD vIPS/1Y international warranty + McAfee/Office H&amp;S/Finger Print/</v>
          </cell>
          <cell r="H58">
            <v>18594</v>
          </cell>
          <cell r="I58">
            <v>15049</v>
          </cell>
          <cell r="J58">
            <v>16424</v>
          </cell>
          <cell r="K58">
            <v>13292</v>
          </cell>
          <cell r="L58">
            <v>2170</v>
          </cell>
          <cell r="M58">
            <v>1757</v>
          </cell>
          <cell r="N58" t="str">
            <v>01 - 29 MARCH</v>
          </cell>
          <cell r="O58" t="str">
            <v>(NB20260315)_Mar_Sellout Support_RF _Asus_Select</v>
          </cell>
        </row>
        <row r="59">
          <cell r="C59" t="str">
            <v>RF X441UA-GA608T</v>
          </cell>
          <cell r="E59" t="str">
            <v>X441UA-GA608T</v>
          </cell>
          <cell r="F59" t="str">
            <v>90NB0C91-M09950</v>
          </cell>
          <cell r="G59" t="str">
            <v>i5-8250U//8G/1TB HDD/BLACK/14"HD /1Y international warranty//</v>
          </cell>
          <cell r="H59">
            <v>18594</v>
          </cell>
          <cell r="I59">
            <v>15049</v>
          </cell>
          <cell r="J59">
            <v>16424</v>
          </cell>
          <cell r="K59">
            <v>13292</v>
          </cell>
          <cell r="L59">
            <v>2170</v>
          </cell>
          <cell r="M59">
            <v>1757</v>
          </cell>
          <cell r="N59" t="str">
            <v>01 - 29 MARCH</v>
          </cell>
          <cell r="O59" t="str">
            <v>(NB20260315)_Mar_Sellout Support_RF _Asus_Select</v>
          </cell>
        </row>
        <row r="60">
          <cell r="C60" t="str">
            <v>RF E510KA-EJ011WS</v>
          </cell>
          <cell r="E60" t="str">
            <v>E510KA-EJ011WS</v>
          </cell>
          <cell r="F60" t="str">
            <v>90NB0UJ5-M00XL0</v>
          </cell>
          <cell r="G60" t="str">
            <v xml:space="preserve">Intel® Celeron® N4500  / 8GB DDR4  / 512GB PCIe® 3.0 SSD / 15.6-inch / FHD (1920 x 1080) 16:9  /  / Star Black /  /  / FingerPrint /  / Win 11 Home / MS Office / </v>
          </cell>
          <cell r="H60">
            <v>18893</v>
          </cell>
          <cell r="I60">
            <v>15291</v>
          </cell>
          <cell r="J60">
            <v>16793</v>
          </cell>
          <cell r="K60">
            <v>13591</v>
          </cell>
          <cell r="L60">
            <v>2100</v>
          </cell>
          <cell r="M60">
            <v>1700</v>
          </cell>
          <cell r="N60" t="str">
            <v>01 - 29 MARCH</v>
          </cell>
          <cell r="O60" t="str">
            <v>(NB20260315)_Mar_Sellout Support_RF _Asus_Select</v>
          </cell>
        </row>
        <row r="61">
          <cell r="C61" t="str">
            <v>RF E510MA-EJ021WS</v>
          </cell>
          <cell r="E61" t="str">
            <v>E510MA-EJ021WS</v>
          </cell>
          <cell r="F61" t="str">
            <v>90NB0Q65-M013U0</v>
          </cell>
          <cell r="G61" t="str">
            <v xml:space="preserve">Intel® Celeron® N4020 8GB DDR4  / 512GB PCIe® 3.0 SSD / 15.6-inch / FHD (1920 x 1080) 16:9  /  / Star Black /  /  / FingerPrint /  / Win 11 Home / MS Office / </v>
          </cell>
          <cell r="H61">
            <v>18893</v>
          </cell>
          <cell r="I61">
            <v>15291</v>
          </cell>
          <cell r="J61">
            <v>16793</v>
          </cell>
          <cell r="K61">
            <v>13591</v>
          </cell>
          <cell r="L61">
            <v>2100</v>
          </cell>
          <cell r="M61">
            <v>1700</v>
          </cell>
          <cell r="N61" t="str">
            <v>01 - 29 MARCH</v>
          </cell>
          <cell r="O61" t="str">
            <v>(NB20260315)_Mar_Sellout Support_RF _Asus_Select</v>
          </cell>
        </row>
        <row r="62">
          <cell r="C62" t="str">
            <v>RF X1500KA-EJ021W</v>
          </cell>
          <cell r="E62" t="str">
            <v>X1500KA-EJ021W</v>
          </cell>
          <cell r="F62" t="str">
            <v>90NB0VI5-M00D00</v>
          </cell>
          <cell r="G62" t="str">
            <v xml:space="preserve">Intel® Celeron N4500 8GB (4*2) DDR4 / 512GB PCIe® 3.0 SSD / 15.6-inch / FHD (1920 x 1080) 16:9  /  / Indie Black /  /  / FingerPrint /  / Win 11 Home /  / </v>
          </cell>
          <cell r="H62">
            <v>18893</v>
          </cell>
          <cell r="I62">
            <v>15291</v>
          </cell>
          <cell r="J62">
            <v>16793</v>
          </cell>
          <cell r="K62">
            <v>13591</v>
          </cell>
          <cell r="L62">
            <v>2100</v>
          </cell>
          <cell r="M62">
            <v>1700</v>
          </cell>
          <cell r="N62" t="str">
            <v>01 - 29 MARCH</v>
          </cell>
          <cell r="O62" t="str">
            <v>(NB20260315)_Mar_Sellout Support_RF _Asus_Select</v>
          </cell>
        </row>
        <row r="63">
          <cell r="C63" t="str">
            <v>RF X515MA-BR022WS</v>
          </cell>
          <cell r="E63" t="str">
            <v>X515MA-BR022WS</v>
          </cell>
          <cell r="F63" t="str">
            <v>90NB0TH2-M00K00</v>
          </cell>
          <cell r="G63" t="str">
            <v xml:space="preserve">Intel® Celeron® N4020 8GB DDR4  / 512GB PCIe® 3.0 SSD / 15.6-inch / HD (1366 x 768) 16:9  /  / Transparent Silver /  / Win 11 Home / MS Office / </v>
          </cell>
          <cell r="H63">
            <v>18893</v>
          </cell>
          <cell r="I63">
            <v>15291</v>
          </cell>
          <cell r="J63">
            <v>16793</v>
          </cell>
          <cell r="K63">
            <v>13591</v>
          </cell>
          <cell r="L63">
            <v>2100</v>
          </cell>
          <cell r="M63">
            <v>1700</v>
          </cell>
          <cell r="N63" t="str">
            <v>01 - 29 MARCH</v>
          </cell>
          <cell r="O63" t="str">
            <v>(NB20260315)_Mar_Sellout Support_RF _Asus_Select</v>
          </cell>
        </row>
        <row r="64">
          <cell r="C64" t="str">
            <v>RF X515MA-BR024WS</v>
          </cell>
          <cell r="E64" t="str">
            <v>X515MA-BR024WS</v>
          </cell>
          <cell r="F64" t="str">
            <v>90NB0TH2-M00K10</v>
          </cell>
          <cell r="G64" t="str">
            <v xml:space="preserve">Intel® Celeron® N4020 8GB DDR4  / 512GB PCIe® 3.0 SSD / 15.6-inch / HD (1366 x 768) 16:9  /  / Transparent Silver /  /  / FingerPrint /  / Win 11 Home / MS Office / </v>
          </cell>
          <cell r="H64">
            <v>18893</v>
          </cell>
          <cell r="I64">
            <v>15291</v>
          </cell>
          <cell r="J64">
            <v>16793</v>
          </cell>
          <cell r="K64">
            <v>13591</v>
          </cell>
          <cell r="L64">
            <v>2100</v>
          </cell>
          <cell r="M64">
            <v>1700</v>
          </cell>
          <cell r="N64" t="str">
            <v>01 - 29 MARCH</v>
          </cell>
          <cell r="O64" t="str">
            <v>(NB20260315)_Mar_Sellout Support_RF _Asus_Select</v>
          </cell>
        </row>
        <row r="65">
          <cell r="C65" t="str">
            <v>RF E510MA-EJ021WS</v>
          </cell>
          <cell r="E65" t="str">
            <v>E510MA-EJ021WS</v>
          </cell>
          <cell r="F65" t="str">
            <v>90NB0Q65-M010E0</v>
          </cell>
          <cell r="G65" t="str">
            <v xml:space="preserve">Intel® Celeron® N4020 8GB DDR4  / 512GB PCIe® 3.0 SSD / 15.6-inch / FHD (1920 x 1080) 16:9  /  / Star Black /  /  / FingerPrint /  / Win 11 Home / MS Office / </v>
          </cell>
          <cell r="H65">
            <v>18893</v>
          </cell>
          <cell r="I65">
            <v>15291</v>
          </cell>
          <cell r="J65">
            <v>16793</v>
          </cell>
          <cell r="K65">
            <v>13591</v>
          </cell>
          <cell r="L65">
            <v>2100</v>
          </cell>
          <cell r="M65">
            <v>1700</v>
          </cell>
          <cell r="N65" t="str">
            <v>01 - 29 MARCH</v>
          </cell>
          <cell r="O65" t="str">
            <v>(NB20260315)_Mar_Sellout Support_RF _Asus_Select</v>
          </cell>
        </row>
        <row r="66">
          <cell r="C66" t="str">
            <v>RF X415JA-EB362TS</v>
          </cell>
          <cell r="E66" t="str">
            <v>X415JA-EB362TS</v>
          </cell>
          <cell r="F66" t="str">
            <v>90NB0ST1-M17660</v>
          </cell>
          <cell r="G66" t="str">
            <v>i3-1005G1//8G/512 PCIe SSD + 32G Optane/TRANSPARENT SILVER/14" FHD vIPS/1Y international warranty + McAfee/Office H&amp;S/Finger Print/</v>
          </cell>
          <cell r="H66">
            <v>19194</v>
          </cell>
          <cell r="I66">
            <v>15534</v>
          </cell>
          <cell r="J66">
            <v>16954</v>
          </cell>
          <cell r="K66">
            <v>13721</v>
          </cell>
          <cell r="L66">
            <v>2240</v>
          </cell>
          <cell r="M66">
            <v>1813</v>
          </cell>
          <cell r="N66" t="str">
            <v>01 - 29 MARCH</v>
          </cell>
          <cell r="O66" t="str">
            <v>(NB20260315)_Mar_Sellout Support_RF _Asus_Select</v>
          </cell>
        </row>
        <row r="67">
          <cell r="C67" t="str">
            <v>RF X415EA-EB302TS</v>
          </cell>
          <cell r="E67" t="str">
            <v>X415EA-EB302TS</v>
          </cell>
          <cell r="F67" t="str">
            <v>90NB0TT1-M13740</v>
          </cell>
          <cell r="G67" t="str">
            <v>i3-1115G4//4G/256G PCIe SSD/TRANSPARENT SILVER/14" FHD vIPS/1Y international warranty + McAfee/Win 10 + Office H&amp;S/Finger Print/</v>
          </cell>
          <cell r="H67">
            <v>18893</v>
          </cell>
          <cell r="I67">
            <v>15291</v>
          </cell>
          <cell r="J67">
            <v>17003</v>
          </cell>
          <cell r="K67">
            <v>13761</v>
          </cell>
          <cell r="L67">
            <v>1890</v>
          </cell>
          <cell r="M67">
            <v>1530</v>
          </cell>
          <cell r="N67" t="str">
            <v>01 - 29 MARCH</v>
          </cell>
          <cell r="O67" t="str">
            <v>(NB20260315)_Mar_Sellout Support_RF _Asus_Select</v>
          </cell>
        </row>
        <row r="68">
          <cell r="C68" t="str">
            <v>RF X415EA-EK301T</v>
          </cell>
          <cell r="E68" t="str">
            <v>X415EA-EK301T</v>
          </cell>
          <cell r="F68" t="str">
            <v>90NB0TT2-M01490</v>
          </cell>
          <cell r="G68" t="str">
            <v>i3-1115G4//4G/256G PCIe SSD/SLATE GREY/14"FHD/1Y international warranty + McAfee//Finger Print/</v>
          </cell>
          <cell r="H68">
            <v>18893</v>
          </cell>
          <cell r="I68">
            <v>15291</v>
          </cell>
          <cell r="J68">
            <v>17003</v>
          </cell>
          <cell r="K68">
            <v>13761</v>
          </cell>
          <cell r="L68">
            <v>1890</v>
          </cell>
          <cell r="M68">
            <v>1530</v>
          </cell>
          <cell r="N68" t="str">
            <v>01 - 29 MARCH</v>
          </cell>
          <cell r="O68" t="str">
            <v>(NB20260315)_Mar_Sellout Support_RF _Asus_Select</v>
          </cell>
        </row>
        <row r="69">
          <cell r="C69" t="str">
            <v>RF X415EA-EK302WS</v>
          </cell>
          <cell r="E69" t="str">
            <v>X415EA-EK302WS</v>
          </cell>
          <cell r="F69" t="str">
            <v>90NB0TT1-M17200</v>
          </cell>
          <cell r="G69" t="str">
            <v>i3-1115G4//4G/256G PCIe SSD/TRANSPARENT SILVER/14" FHD/1Y international warranty + McAfee/Win 11 + Office H&amp;S/Finger Print/</v>
          </cell>
          <cell r="H69">
            <v>18893</v>
          </cell>
          <cell r="I69">
            <v>15291</v>
          </cell>
          <cell r="J69">
            <v>17003</v>
          </cell>
          <cell r="K69">
            <v>13761</v>
          </cell>
          <cell r="L69">
            <v>1890</v>
          </cell>
          <cell r="M69">
            <v>1530</v>
          </cell>
          <cell r="N69" t="str">
            <v>01 - 29 MARCH</v>
          </cell>
          <cell r="O69" t="str">
            <v>(NB20260315)_Mar_Sellout Support_RF _Asus_Select</v>
          </cell>
        </row>
        <row r="70">
          <cell r="C70" t="str">
            <v>RF X515EA-EJ302TS</v>
          </cell>
          <cell r="E70" t="str">
            <v>X515EA-EJ302TS</v>
          </cell>
          <cell r="F70" t="str">
            <v>90NB0TY2-M17280</v>
          </cell>
          <cell r="G70" t="str">
            <v>i3-1115G4//4G/256G PCIe SSD/TRANSPARENT SILVER/15.6"FHD/1Y international warranty + McAfee/Office H&amp;S/Finger Print/</v>
          </cell>
          <cell r="H70">
            <v>18893</v>
          </cell>
          <cell r="I70">
            <v>15291</v>
          </cell>
          <cell r="J70">
            <v>17003</v>
          </cell>
          <cell r="K70">
            <v>13761</v>
          </cell>
          <cell r="L70">
            <v>1890</v>
          </cell>
          <cell r="M70">
            <v>1530</v>
          </cell>
          <cell r="N70" t="str">
            <v>01 - 29 MARCH</v>
          </cell>
          <cell r="O70" t="str">
            <v>(NB20260315)_Mar_Sellout Support_RF _Asus_Select</v>
          </cell>
        </row>
        <row r="71">
          <cell r="C71" t="str">
            <v>RF X515EA-EJ312TS</v>
          </cell>
          <cell r="E71" t="str">
            <v>X515EA-EJ312TS</v>
          </cell>
          <cell r="F71" t="str">
            <v>90NB0TY2-M03400</v>
          </cell>
          <cell r="G71" t="str">
            <v>i3-1115G4//8G/256G PCIe SSD/TRANSPARENT SILVER/15.6"FHD/1Y international warranty + McAfee/Office H&amp;S/Finger Print/</v>
          </cell>
          <cell r="H71">
            <v>18893</v>
          </cell>
          <cell r="I71">
            <v>15291</v>
          </cell>
          <cell r="J71">
            <v>17003</v>
          </cell>
          <cell r="K71">
            <v>13761</v>
          </cell>
          <cell r="L71">
            <v>1890</v>
          </cell>
          <cell r="M71">
            <v>1530</v>
          </cell>
          <cell r="N71" t="str">
            <v>01 - 29 MARCH</v>
          </cell>
          <cell r="O71" t="str">
            <v>(NB20260315)_Mar_Sellout Support_RF _Asus_Select</v>
          </cell>
        </row>
        <row r="72">
          <cell r="C72" t="str">
            <v>RF X505ZA-EJ563T</v>
          </cell>
          <cell r="E72" t="str">
            <v>X505ZA-EJ563T</v>
          </cell>
          <cell r="F72" t="str">
            <v>90NB0I18-M08620</v>
          </cell>
          <cell r="G72" t="str">
            <v>R5-2500U/UMA/4G/1T/GOLD/15.6"FHD/1Y</v>
          </cell>
          <cell r="H72">
            <v>19194</v>
          </cell>
          <cell r="I72">
            <v>15534</v>
          </cell>
          <cell r="J72">
            <v>17094</v>
          </cell>
          <cell r="K72">
            <v>13835</v>
          </cell>
          <cell r="L72">
            <v>2100</v>
          </cell>
          <cell r="M72">
            <v>1699</v>
          </cell>
          <cell r="N72" t="str">
            <v>01 - 29 MARCH</v>
          </cell>
          <cell r="O72" t="str">
            <v>(NB20260315)_Mar_Sellout Support_RF _Asus_Select</v>
          </cell>
        </row>
        <row r="73">
          <cell r="C73" t="str">
            <v>RF T3300KA-LQ111WS</v>
          </cell>
          <cell r="E73" t="str">
            <v>T3300KA-LQ111WS</v>
          </cell>
          <cell r="F73" t="str">
            <v>90NB0VC2-M01410</v>
          </cell>
          <cell r="G73" t="str">
            <v>PQC N6000 /  / 8GB / 256GB SSD / Black / 13.3-inch Touch / FHD OLED  / 1Y International Warranty / McAfee / Win 11 / Office H&amp;S 2021 / FingerPrint /  /  / Sleeve / Stand / Stylus / Stylus holder</v>
          </cell>
          <cell r="H73">
            <v>20994</v>
          </cell>
          <cell r="I73">
            <v>16991</v>
          </cell>
          <cell r="J73">
            <v>17494</v>
          </cell>
          <cell r="K73">
            <v>14158</v>
          </cell>
          <cell r="L73">
            <v>3500</v>
          </cell>
          <cell r="M73">
            <v>2833</v>
          </cell>
          <cell r="N73" t="str">
            <v>01 - 29 MARCH</v>
          </cell>
          <cell r="O73" t="str">
            <v>(NB20260315)_Mar_Sellout Support_RF _Asus_Select</v>
          </cell>
        </row>
        <row r="74">
          <cell r="C74" t="str">
            <v>RF M415DA-EB501T</v>
          </cell>
          <cell r="E74" t="str">
            <v>M415DA-EB501T</v>
          </cell>
          <cell r="F74" t="str">
            <v>90NB0T32-M01910</v>
          </cell>
          <cell r="G74" t="str">
            <v>R5-3500U//8G/1TB HDD/SLATE GREY/14.0"FHD vIPS/1Y international warranty + McAfee//Finger Print/</v>
          </cell>
          <cell r="H74">
            <v>20394</v>
          </cell>
          <cell r="I74">
            <v>16505</v>
          </cell>
          <cell r="J74">
            <v>18014</v>
          </cell>
          <cell r="K74">
            <v>14579</v>
          </cell>
          <cell r="L74">
            <v>2380</v>
          </cell>
          <cell r="M74">
            <v>1926</v>
          </cell>
          <cell r="N74" t="str">
            <v>01 - 29 MARCH</v>
          </cell>
          <cell r="O74" t="str">
            <v>(NB20260315)_Mar_Sellout Support_RF _Asus_Select</v>
          </cell>
        </row>
        <row r="75">
          <cell r="C75" t="str">
            <v>RF M415DA-EB502TS</v>
          </cell>
          <cell r="E75" t="str">
            <v>M415DA-EB502TS</v>
          </cell>
          <cell r="F75" t="str">
            <v>90NB0T31-M01920</v>
          </cell>
          <cell r="G75" t="str">
            <v>R5-3500U//8G/1TB HDD/TRANSPARENT SILVER/14.0"FHD vIPS/1Y international warranty + McAfee/Office H&amp;S/Finger Print/</v>
          </cell>
          <cell r="H75">
            <v>20394</v>
          </cell>
          <cell r="I75">
            <v>16505</v>
          </cell>
          <cell r="J75">
            <v>18014</v>
          </cell>
          <cell r="K75">
            <v>14579</v>
          </cell>
          <cell r="L75">
            <v>2380</v>
          </cell>
          <cell r="M75">
            <v>1926</v>
          </cell>
          <cell r="N75" t="str">
            <v>01 - 29 MARCH</v>
          </cell>
          <cell r="O75" t="str">
            <v>(NB20260315)_Mar_Sellout Support_RF _Asus_Select</v>
          </cell>
        </row>
        <row r="76">
          <cell r="C76" t="str">
            <v>RF M415DA-EK502TS</v>
          </cell>
          <cell r="E76" t="str">
            <v>M415DA-EK502TS</v>
          </cell>
          <cell r="F76" t="str">
            <v>90NB0T31-M01370</v>
          </cell>
          <cell r="G76" t="str">
            <v>R5-3500U//8G/1TB HDD/TRANSPARENT SILVER/14.0"FHD/1Y international warranty + McAfee/Office H&amp;S/Finger Print/</v>
          </cell>
          <cell r="H76">
            <v>20394</v>
          </cell>
          <cell r="I76">
            <v>16505</v>
          </cell>
          <cell r="J76">
            <v>18014</v>
          </cell>
          <cell r="K76">
            <v>14579</v>
          </cell>
          <cell r="L76">
            <v>2380</v>
          </cell>
          <cell r="M76">
            <v>1926</v>
          </cell>
          <cell r="N76" t="str">
            <v>01 - 29 MARCH</v>
          </cell>
          <cell r="O76" t="str">
            <v>(NB20260315)_Mar_Sellout Support_RF _Asus_Select</v>
          </cell>
        </row>
        <row r="77">
          <cell r="C77" t="str">
            <v>RF M509DA-EJ562T</v>
          </cell>
          <cell r="E77" t="str">
            <v>M509DA-EJ562T</v>
          </cell>
          <cell r="F77" t="str">
            <v>90NB0P52-M01490</v>
          </cell>
          <cell r="G77" t="str">
            <v>R5-3500U/UMA/4G/256G PCIe SSD/SLATE GREY/15.6"FHD/1Y</v>
          </cell>
          <cell r="H77">
            <v>20394</v>
          </cell>
          <cell r="I77">
            <v>16505</v>
          </cell>
          <cell r="J77">
            <v>18014</v>
          </cell>
          <cell r="K77">
            <v>14579</v>
          </cell>
          <cell r="L77">
            <v>2380</v>
          </cell>
          <cell r="M77">
            <v>1926</v>
          </cell>
          <cell r="N77" t="str">
            <v>01 - 29 MARCH</v>
          </cell>
          <cell r="O77" t="str">
            <v>(NB20260315)_Mar_Sellout Support_RF _Asus_Select</v>
          </cell>
        </row>
        <row r="78">
          <cell r="C78" t="str">
            <v>RF M509DA-EJ571TS</v>
          </cell>
          <cell r="E78" t="str">
            <v>M509DA-EJ571TS</v>
          </cell>
          <cell r="F78" t="str">
            <v>90NB0P51-M04140</v>
          </cell>
          <cell r="G78" t="str">
            <v>R5-3500U/UMA/4G/512G PCIe SSD/SLATE GREY/15.6"FHD/Office H&amp;S/1Y</v>
          </cell>
          <cell r="H78">
            <v>20394</v>
          </cell>
          <cell r="I78">
            <v>16505</v>
          </cell>
          <cell r="J78">
            <v>18014</v>
          </cell>
          <cell r="K78">
            <v>14579</v>
          </cell>
          <cell r="L78">
            <v>2380</v>
          </cell>
          <cell r="M78">
            <v>1926</v>
          </cell>
          <cell r="N78" t="str">
            <v>01 - 29 MARCH</v>
          </cell>
          <cell r="O78" t="str">
            <v>(NB20260315)_Mar_Sellout Support_RF _Asus_Select</v>
          </cell>
        </row>
        <row r="79">
          <cell r="C79" t="str">
            <v>RF M515DA-BQ501T</v>
          </cell>
          <cell r="E79" t="str">
            <v>M515DA-BQ501T</v>
          </cell>
          <cell r="F79" t="str">
            <v>90NB0T41-M04430</v>
          </cell>
          <cell r="G79" t="str">
            <v>R5-3500U//8G/1TB/SLATE GREY/15.6"FHD/1Y international warranty + McAfee//Finger Print/</v>
          </cell>
          <cell r="H79">
            <v>20394</v>
          </cell>
          <cell r="I79">
            <v>16505</v>
          </cell>
          <cell r="J79">
            <v>18014</v>
          </cell>
          <cell r="K79">
            <v>14579</v>
          </cell>
          <cell r="L79">
            <v>2380</v>
          </cell>
          <cell r="M79">
            <v>1926</v>
          </cell>
          <cell r="N79" t="str">
            <v>01 - 29 MARCH</v>
          </cell>
          <cell r="O79" t="str">
            <v>(NB20260315)_Mar_Sellout Support_RF _Asus_Select</v>
          </cell>
        </row>
        <row r="80">
          <cell r="C80" t="str">
            <v>RF M515DA-BQ502TS</v>
          </cell>
          <cell r="E80" t="str">
            <v>M515DA-BQ502TS</v>
          </cell>
          <cell r="F80" t="str">
            <v>90NB0T42-M04440</v>
          </cell>
          <cell r="G80" t="str">
            <v>R5-3500U//8G/1TB/TRANSPARENT SILVER/15.6"FHD/1Y international warranty + McAfee/Office H&amp;S/Finger Print/</v>
          </cell>
          <cell r="H80">
            <v>20394</v>
          </cell>
          <cell r="I80">
            <v>16505</v>
          </cell>
          <cell r="J80">
            <v>18014</v>
          </cell>
          <cell r="K80">
            <v>14579</v>
          </cell>
          <cell r="L80">
            <v>2380</v>
          </cell>
          <cell r="M80">
            <v>1926</v>
          </cell>
          <cell r="N80" t="str">
            <v>01 - 29 MARCH</v>
          </cell>
          <cell r="O80" t="str">
            <v>(NB20260315)_Mar_Sellout Support_RF _Asus_Select</v>
          </cell>
        </row>
        <row r="81">
          <cell r="C81" t="str">
            <v>RF M515DA-BQ522TS</v>
          </cell>
          <cell r="E81" t="str">
            <v>M515DA-BQ522TS</v>
          </cell>
          <cell r="F81" t="str">
            <v>90NB0T42-M08890</v>
          </cell>
          <cell r="G81" t="str">
            <v>R5-3500U//4G/256 PCIE SSD/TRANSPARENT SILVER/15.6"FHD/1Y international warranty + McAfee/Office H&amp;S/Finger Print/</v>
          </cell>
          <cell r="H81">
            <v>20394</v>
          </cell>
          <cell r="I81">
            <v>16505</v>
          </cell>
          <cell r="J81">
            <v>18014</v>
          </cell>
          <cell r="K81">
            <v>14579</v>
          </cell>
          <cell r="L81">
            <v>2380</v>
          </cell>
          <cell r="M81">
            <v>1926</v>
          </cell>
          <cell r="N81" t="str">
            <v>01 - 29 MARCH</v>
          </cell>
          <cell r="O81" t="str">
            <v>(NB20260315)_Mar_Sellout Support_RF _Asus_Select</v>
          </cell>
        </row>
        <row r="82">
          <cell r="C82" t="str">
            <v>RF X1500EA-EJ122WS</v>
          </cell>
          <cell r="E82" t="str">
            <v>X1500EA-EJ122WS</v>
          </cell>
          <cell r="F82" t="str">
            <v>90NB0TY6-M04PV0</v>
          </cell>
          <cell r="G82" t="str">
            <v xml:space="preserve">Intel® Pentium N7505  / 8GB DDR4 / 512GB PCIe® 3.0 SSD / 15.6-inch / FHD (1920 x 1080) 16:9  /  / Transparent Silver /  / Win 11 Home / MS Office / </v>
          </cell>
          <cell r="H82">
            <v>19593</v>
          </cell>
          <cell r="I82">
            <v>15857</v>
          </cell>
          <cell r="J82">
            <v>18193</v>
          </cell>
          <cell r="K82">
            <v>14724</v>
          </cell>
          <cell r="L82">
            <v>1400</v>
          </cell>
          <cell r="M82">
            <v>1133</v>
          </cell>
          <cell r="N82" t="str">
            <v>01 - 29 MARCH</v>
          </cell>
          <cell r="O82" t="str">
            <v>(NB20260315)_Mar_Sellout Support_RF _Asus_Select</v>
          </cell>
        </row>
        <row r="83">
          <cell r="C83" t="str">
            <v>RF X1500EA-EJ311W</v>
          </cell>
          <cell r="E83" t="str">
            <v>X1500EA-EJ311W</v>
          </cell>
          <cell r="F83" t="str">
            <v>90NB0TY6-M04P10</v>
          </cell>
          <cell r="G83" t="str">
            <v xml:space="preserve">Intel® Core™ i3-1115G4 /  /  / 8GB DDR4 / 256GB PCIe® 3.0 SSD / 15.6-inch / FHD (1920 x 1080) 16:9  /  / Transparent Silver /  /  / FingerPrint /  / Win 11 Home /  / </v>
          </cell>
          <cell r="H83">
            <v>20293</v>
          </cell>
          <cell r="I83">
            <v>16424</v>
          </cell>
          <cell r="J83">
            <v>18263</v>
          </cell>
          <cell r="K83">
            <v>14781</v>
          </cell>
          <cell r="L83">
            <v>2030</v>
          </cell>
          <cell r="M83">
            <v>1643</v>
          </cell>
          <cell r="N83" t="str">
            <v>01 - 29 MARCH</v>
          </cell>
          <cell r="O83" t="str">
            <v>(NB20260315)_Mar_Sellout Support_RF _Asus_Select</v>
          </cell>
        </row>
        <row r="84">
          <cell r="C84" t="str">
            <v>RF X415EA-EB342WS</v>
          </cell>
          <cell r="E84" t="str">
            <v>X415EA-EB342WS</v>
          </cell>
          <cell r="F84" t="str">
            <v>90NB0TT1-M000R0</v>
          </cell>
          <cell r="G84" t="str">
            <v>i3-1115G4//8G/256G PCIe SSD/TRANSPARENT SILVER/14" FHD vIPS/1Y international warranty + McAfee/Win 11 + Office H&amp;S/Finger Print/</v>
          </cell>
          <cell r="H84">
            <v>20293</v>
          </cell>
          <cell r="I84">
            <v>16424</v>
          </cell>
          <cell r="J84">
            <v>18263</v>
          </cell>
          <cell r="K84">
            <v>14781</v>
          </cell>
          <cell r="L84">
            <v>2030</v>
          </cell>
          <cell r="M84">
            <v>1643</v>
          </cell>
          <cell r="N84" t="str">
            <v>01 - 29 MARCH</v>
          </cell>
          <cell r="O84" t="str">
            <v>(NB20260315)_Mar_Sellout Support_RF _Asus_Select</v>
          </cell>
        </row>
        <row r="85">
          <cell r="C85" t="str">
            <v>RF X513EA-BQ311TS</v>
          </cell>
          <cell r="E85" t="str">
            <v>X513EA-BQ311TS</v>
          </cell>
          <cell r="F85" t="str">
            <v>90NB0SG6-M05790</v>
          </cell>
          <cell r="G85" t="str">
            <v>i3-1115G4//8G/256 PCIe SSD/COBALT BLUE/15.6"FHD vIPS/1Y international warranty + McAfee/Office H&amp;S/Finger Print/Backlit KB</v>
          </cell>
          <cell r="H85">
            <v>20293</v>
          </cell>
          <cell r="I85">
            <v>16424</v>
          </cell>
          <cell r="J85">
            <v>18263</v>
          </cell>
          <cell r="K85">
            <v>14781</v>
          </cell>
          <cell r="L85">
            <v>2030</v>
          </cell>
          <cell r="M85">
            <v>1643</v>
          </cell>
          <cell r="N85" t="str">
            <v>01 - 29 MARCH</v>
          </cell>
          <cell r="O85" t="str">
            <v>(NB20260315)_Mar_Sellout Support_RF _Asus_Select</v>
          </cell>
        </row>
        <row r="86">
          <cell r="C86" t="str">
            <v>RF X513EA-BQ313TS</v>
          </cell>
          <cell r="E86" t="str">
            <v>X513EA-BQ313TS</v>
          </cell>
          <cell r="F86" t="str">
            <v>90NB0SG5-M05810</v>
          </cell>
          <cell r="G86" t="str">
            <v>i3-1115G4//8G/256 PCIe SSD/DREAMY WHITE/15.6"FHD vIPS/1Y international warranty + McAfee/Office H&amp;S/Finger Print/Backlit KB</v>
          </cell>
          <cell r="H86">
            <v>20293</v>
          </cell>
          <cell r="I86">
            <v>16424</v>
          </cell>
          <cell r="J86">
            <v>18263</v>
          </cell>
          <cell r="K86">
            <v>14781</v>
          </cell>
          <cell r="L86">
            <v>2030</v>
          </cell>
          <cell r="M86">
            <v>1643</v>
          </cell>
          <cell r="N86" t="str">
            <v>01 - 29 MARCH</v>
          </cell>
          <cell r="O86" t="str">
            <v>(NB20260315)_Mar_Sellout Support_RF _Asus_Select</v>
          </cell>
        </row>
        <row r="87">
          <cell r="C87" t="str">
            <v>RF X515EA-BQ312TS</v>
          </cell>
          <cell r="E87" t="str">
            <v>X515EA-BQ312TS</v>
          </cell>
          <cell r="F87" t="str">
            <v>90NB0TY2-M16540</v>
          </cell>
          <cell r="G87" t="str">
            <v>i3-1115G4//8G/256G PCIe SSD/TRANSPARENT SILVER/15.6"FHD vIPS/1Y international warranty + McAfee/Office H&amp;S/Finger Print/</v>
          </cell>
          <cell r="H87">
            <v>20293</v>
          </cell>
          <cell r="I87">
            <v>16424</v>
          </cell>
          <cell r="J87">
            <v>18263</v>
          </cell>
          <cell r="K87">
            <v>14781</v>
          </cell>
          <cell r="L87">
            <v>2030</v>
          </cell>
          <cell r="M87">
            <v>1643</v>
          </cell>
          <cell r="N87" t="str">
            <v>01 - 29 MARCH</v>
          </cell>
          <cell r="O87" t="str">
            <v>(NB20260315)_Mar_Sellout Support_RF _Asus_Select</v>
          </cell>
        </row>
        <row r="88">
          <cell r="C88" t="str">
            <v>RF X515EA-BQ312WS</v>
          </cell>
          <cell r="E88" t="str">
            <v>X515EA-BQ312WS</v>
          </cell>
          <cell r="F88" t="str">
            <v>90NB0TY2-M26770</v>
          </cell>
          <cell r="G88" t="str">
            <v>i3-1115G4//8G/256G PCIe SSD/TRANSPARENT SILVER/15.6"FHD vIPS/1Y international warranty + McAfee/Office H&amp;S/Finger Print/Win 11</v>
          </cell>
          <cell r="H88">
            <v>20293</v>
          </cell>
          <cell r="I88">
            <v>16424</v>
          </cell>
          <cell r="J88">
            <v>18263</v>
          </cell>
          <cell r="K88">
            <v>14781</v>
          </cell>
          <cell r="L88">
            <v>2030</v>
          </cell>
          <cell r="M88">
            <v>1643</v>
          </cell>
          <cell r="N88" t="str">
            <v>01 - 29 MARCH</v>
          </cell>
          <cell r="O88" t="str">
            <v>(NB20260315)_Mar_Sellout Support_RF _Asus_Select</v>
          </cell>
        </row>
        <row r="89">
          <cell r="C89" t="str">
            <v>RF X515EA-BQ391TS</v>
          </cell>
          <cell r="E89" t="str">
            <v>X515EA-BQ391TS</v>
          </cell>
          <cell r="F89" t="str">
            <v>90NB0TY1-M21530</v>
          </cell>
          <cell r="G89" t="str">
            <v>i3-1115G4//8G/1TB HDD/SLATE GREY/15.6 FHD v_IPS/1Y international warranty + McAfee/Office H&amp;S</v>
          </cell>
          <cell r="H89">
            <v>20293</v>
          </cell>
          <cell r="I89">
            <v>16424</v>
          </cell>
          <cell r="J89">
            <v>18263</v>
          </cell>
          <cell r="K89">
            <v>14781</v>
          </cell>
          <cell r="L89">
            <v>2030</v>
          </cell>
          <cell r="M89">
            <v>1643</v>
          </cell>
          <cell r="N89" t="str">
            <v>01 - 29 MARCH</v>
          </cell>
          <cell r="O89" t="str">
            <v>(NB20260315)_Mar_Sellout Support_RF _Asus_Select</v>
          </cell>
        </row>
        <row r="90">
          <cell r="C90" t="str">
            <v>RF X515EA-BR312TS</v>
          </cell>
          <cell r="E90" t="str">
            <v>X515EA-BR312TS</v>
          </cell>
          <cell r="F90" t="str">
            <v>90NB0TY2-M16860</v>
          </cell>
          <cell r="G90" t="str">
            <v>i3-1115G4//8G/256G PCIe SSD/TRANSPARENT SILVER/15.6"HD/1Y international warranty + McAfee/Office H&amp;S/Finger Print/</v>
          </cell>
          <cell r="H90">
            <v>20293</v>
          </cell>
          <cell r="I90">
            <v>16424</v>
          </cell>
          <cell r="J90">
            <v>18263</v>
          </cell>
          <cell r="K90">
            <v>14781</v>
          </cell>
          <cell r="L90">
            <v>2030</v>
          </cell>
          <cell r="M90">
            <v>1643</v>
          </cell>
          <cell r="N90" t="str">
            <v>01 - 29 MARCH</v>
          </cell>
          <cell r="O90" t="str">
            <v>(NB20260315)_Mar_Sellout Support_RF _Asus_Select</v>
          </cell>
        </row>
        <row r="91">
          <cell r="C91" t="str">
            <v>RF X515EA-BR391TS</v>
          </cell>
          <cell r="E91" t="str">
            <v>X515EA-BR391TS</v>
          </cell>
          <cell r="F91" t="str">
            <v>90NB0TY1-M21540</v>
          </cell>
          <cell r="G91" t="str">
            <v>i3-1115G4//8G/1TB HDD/SLATE GREY/15.6 HD/1Y international warranty + McAfee/Office H&amp;S</v>
          </cell>
          <cell r="H91">
            <v>20293</v>
          </cell>
          <cell r="I91">
            <v>16424</v>
          </cell>
          <cell r="J91">
            <v>18263</v>
          </cell>
          <cell r="K91">
            <v>14781</v>
          </cell>
          <cell r="L91">
            <v>2030</v>
          </cell>
          <cell r="M91">
            <v>1643</v>
          </cell>
          <cell r="N91" t="str">
            <v>01 - 29 MARCH</v>
          </cell>
          <cell r="O91" t="str">
            <v>(NB20260315)_Mar_Sellout Support_RF _Asus_Select</v>
          </cell>
        </row>
        <row r="92">
          <cell r="C92" t="str">
            <v>RF X515EA-BR391W</v>
          </cell>
          <cell r="E92" t="str">
            <v>X515EA-BR391W</v>
          </cell>
          <cell r="F92" t="str">
            <v>90NB0TY1-M00JF0</v>
          </cell>
          <cell r="G92" t="str">
            <v xml:space="preserve">i3 1115G4 /  / 8GB / 1TB HDD / Slate Grey / 15.6-inch / HD / 1Y International Warranty / McAfee / Win 11 /  / FingerPrint /  /  / </v>
          </cell>
          <cell r="H92">
            <v>20293</v>
          </cell>
          <cell r="I92">
            <v>16424</v>
          </cell>
          <cell r="J92">
            <v>18263</v>
          </cell>
          <cell r="K92">
            <v>14781</v>
          </cell>
          <cell r="L92">
            <v>2030</v>
          </cell>
          <cell r="M92">
            <v>1643</v>
          </cell>
          <cell r="N92" t="str">
            <v>01 - 29 MARCH</v>
          </cell>
          <cell r="O92" t="str">
            <v>(NB20260315)_Mar_Sellout Support_RF _Asus_Select</v>
          </cell>
        </row>
        <row r="93">
          <cell r="C93" t="str">
            <v>RF X515EA-BR391WS</v>
          </cell>
          <cell r="E93" t="str">
            <v>X515EA-BR391WS</v>
          </cell>
          <cell r="F93" t="str">
            <v>90NB0TY1-M00J50</v>
          </cell>
          <cell r="G93" t="str">
            <v xml:space="preserve">i3 1115G4 /  / 8GB / 1TB HDD / Slate Grey / 15.6-inch / HD / 1Y International Warranty / McAfee / Win 11 / Office H&amp;S 2021 / FingerPrint /  /  / </v>
          </cell>
          <cell r="H93">
            <v>20293</v>
          </cell>
          <cell r="I93">
            <v>16424</v>
          </cell>
          <cell r="J93">
            <v>18263</v>
          </cell>
          <cell r="K93">
            <v>14781</v>
          </cell>
          <cell r="L93">
            <v>2030</v>
          </cell>
          <cell r="M93">
            <v>1643</v>
          </cell>
          <cell r="N93" t="str">
            <v>01 - 29 MARCH</v>
          </cell>
          <cell r="O93" t="str">
            <v>(NB20260315)_Mar_Sellout Support_RF _Asus_Select</v>
          </cell>
        </row>
        <row r="94">
          <cell r="C94" t="str">
            <v>RF X515EA-EJ312W</v>
          </cell>
          <cell r="E94" t="str">
            <v>X515EA-EJ312W</v>
          </cell>
          <cell r="F94" t="str">
            <v>90NB0TY2-M04LT0</v>
          </cell>
          <cell r="G94" t="str">
            <v xml:space="preserve">Intel® Core™ i3-1115G4 /  /  / 8GB DDR4 / 256GB PCIe® 3.0 SSD / 15.6-inch / FHD (1920 x 1080) 16:9  /  / Transparent Silver /  / Win 11 Home /  / </v>
          </cell>
          <cell r="H94">
            <v>20293</v>
          </cell>
          <cell r="I94">
            <v>16424</v>
          </cell>
          <cell r="J94">
            <v>18263</v>
          </cell>
          <cell r="K94">
            <v>14781</v>
          </cell>
          <cell r="L94">
            <v>2030</v>
          </cell>
          <cell r="M94">
            <v>1643</v>
          </cell>
          <cell r="N94" t="str">
            <v>01 - 29 MARCH</v>
          </cell>
          <cell r="O94" t="str">
            <v>(NB20260315)_Mar_Sellout Support_RF _Asus_Select</v>
          </cell>
        </row>
        <row r="95">
          <cell r="C95" t="str">
            <v>RF M515DA-BQ512TS</v>
          </cell>
          <cell r="E95" t="str">
            <v>M515DA-BQ512TS</v>
          </cell>
          <cell r="F95" t="str">
            <v>90NB0T42-M08870</v>
          </cell>
          <cell r="G95" t="str">
            <v>R5-3500U//8G/512G PCIe SSD/TRANSPARENT SILVER/15.6"FHD/1Y international warranty + McAfee/Office H&amp;S/Finger Print/</v>
          </cell>
          <cell r="H95">
            <v>20994</v>
          </cell>
          <cell r="I95">
            <v>16991</v>
          </cell>
          <cell r="J95">
            <v>18544</v>
          </cell>
          <cell r="K95">
            <v>15008</v>
          </cell>
          <cell r="L95">
            <v>2450</v>
          </cell>
          <cell r="M95">
            <v>1983</v>
          </cell>
          <cell r="N95" t="str">
            <v>01 - 29 MARCH</v>
          </cell>
          <cell r="O95" t="str">
            <v>(NB20260315)_Mar_Sellout Support_RF _Asus_Select</v>
          </cell>
        </row>
        <row r="96">
          <cell r="C96" t="str">
            <v>RF K513EA-BQ301TS</v>
          </cell>
          <cell r="E96" t="str">
            <v>K513EA-BQ301TS</v>
          </cell>
          <cell r="F96" t="str">
            <v>90NB0SG3-M05670</v>
          </cell>
          <cell r="G96" t="str">
            <v>i3-1115G4//4G/256 PCIe SSD/HEARTY GOLD/15.6"FHD vIPS/1Y international warranty + McAfee/Office H&amp;S/Backlit KB/Finger Print</v>
          </cell>
          <cell r="H96">
            <v>20993</v>
          </cell>
          <cell r="I96">
            <v>16990</v>
          </cell>
          <cell r="J96">
            <v>18893</v>
          </cell>
          <cell r="K96">
            <v>15291</v>
          </cell>
          <cell r="L96">
            <v>2100</v>
          </cell>
          <cell r="M96">
            <v>1699</v>
          </cell>
          <cell r="N96" t="str">
            <v>01 - 29 MARCH</v>
          </cell>
          <cell r="O96" t="str">
            <v>(NB20260315)_Mar_Sellout Support_RF _Asus_Select</v>
          </cell>
        </row>
        <row r="97">
          <cell r="C97" t="str">
            <v>RF K513EA-BQ302TS</v>
          </cell>
          <cell r="E97" t="str">
            <v>K513EA-BQ302TS</v>
          </cell>
          <cell r="F97" t="str">
            <v>90NB0SG1-M05680</v>
          </cell>
          <cell r="G97" t="str">
            <v>i3-1115G4//4G/256 PCIe SSD/INDIE BLACK/15.6"FHD vIPS/1Y international warranty + McAfee/Office H&amp;S/Backlit KB/Finger Print</v>
          </cell>
          <cell r="H97">
            <v>20993</v>
          </cell>
          <cell r="I97">
            <v>16990</v>
          </cell>
          <cell r="J97">
            <v>18893</v>
          </cell>
          <cell r="K97">
            <v>15291</v>
          </cell>
          <cell r="L97">
            <v>2100</v>
          </cell>
          <cell r="M97">
            <v>1699</v>
          </cell>
          <cell r="N97" t="str">
            <v>01 - 29 MARCH</v>
          </cell>
          <cell r="O97" t="str">
            <v>(NB20260315)_Mar_Sellout Support_RF _Asus_Select</v>
          </cell>
        </row>
        <row r="98">
          <cell r="C98" t="str">
            <v>RF K513EA-BQ303TS</v>
          </cell>
          <cell r="E98" t="str">
            <v>K513EA-BQ303TS</v>
          </cell>
          <cell r="F98" t="str">
            <v>90NB0SG2-M05690</v>
          </cell>
          <cell r="G98" t="str">
            <v>i3-1115G4//4G/256 PCIe SSD/TRANSPARENT SILVER/15.6"FHD vIPS/1Y international warranty + McAfee/Office H&amp;S/Backlit KB/Finger Print</v>
          </cell>
          <cell r="H98">
            <v>20993</v>
          </cell>
          <cell r="I98">
            <v>16990</v>
          </cell>
          <cell r="J98">
            <v>18893</v>
          </cell>
          <cell r="K98">
            <v>15291</v>
          </cell>
          <cell r="L98">
            <v>2100</v>
          </cell>
          <cell r="M98">
            <v>1699</v>
          </cell>
          <cell r="N98" t="str">
            <v>01 - 29 MARCH</v>
          </cell>
          <cell r="O98" t="str">
            <v>(NB20260315)_Mar_Sellout Support_RF _Asus_Select</v>
          </cell>
        </row>
        <row r="99">
          <cell r="C99" t="str">
            <v>RF K513EA-BQ311TS</v>
          </cell>
          <cell r="E99" t="str">
            <v>K513EA-BQ311TS</v>
          </cell>
          <cell r="F99" t="str">
            <v>90NB0SG1-M05700</v>
          </cell>
          <cell r="G99" t="str">
            <v>i3-1115G4//4G/512G PCIe SSD/INDIE BLACK/15.6"FHD vIPS/1Y international warranty + McAfee/Office H&amp;S/Backlit KB/Finger Print</v>
          </cell>
          <cell r="H99">
            <v>20993</v>
          </cell>
          <cell r="I99">
            <v>16990</v>
          </cell>
          <cell r="J99">
            <v>18893</v>
          </cell>
          <cell r="K99">
            <v>15291</v>
          </cell>
          <cell r="L99">
            <v>2100</v>
          </cell>
          <cell r="M99">
            <v>1699</v>
          </cell>
          <cell r="N99" t="str">
            <v>01 - 29 MARCH</v>
          </cell>
          <cell r="O99" t="str">
            <v>(NB20260315)_Mar_Sellout Support_RF _Asus_Select</v>
          </cell>
        </row>
        <row r="100">
          <cell r="C100" t="str">
            <v>RF X1500EA-EJ3379W</v>
          </cell>
          <cell r="E100" t="str">
            <v>X1500EA-EJ3379W</v>
          </cell>
          <cell r="F100" t="str">
            <v>90NB0TY6-M04EH0</v>
          </cell>
          <cell r="G100" t="str">
            <v xml:space="preserve">Intel® Core™ i3-1115G4 /  /  / 8GB DDR4 / 512GB PCIe® 3.0 SSD / 15.6-inch / FHD (1920 x 1080) 16:9  /  / Transparent Silver /  /  / FingerPrint /  / Win 11 Home /  / </v>
          </cell>
          <cell r="H100">
            <v>20993</v>
          </cell>
          <cell r="I100">
            <v>16990</v>
          </cell>
          <cell r="J100">
            <v>18893</v>
          </cell>
          <cell r="K100">
            <v>15291</v>
          </cell>
          <cell r="L100">
            <v>2100</v>
          </cell>
          <cell r="M100">
            <v>1699</v>
          </cell>
          <cell r="N100" t="str">
            <v>01 - 29 MARCH</v>
          </cell>
          <cell r="O100" t="str">
            <v>(NB20260315)_Mar_Sellout Support_RF _Asus_Select</v>
          </cell>
        </row>
        <row r="101">
          <cell r="C101" t="str">
            <v>RF UX333FA-A4117T</v>
          </cell>
          <cell r="E101" t="str">
            <v>UX333FA-A4117T</v>
          </cell>
          <cell r="F101" t="str">
            <v>90NB0JV4-M02610</v>
          </cell>
          <cell r="G101" t="str">
            <v>i5-8265U/UMA/8G/512G PCIe SSD/ICICLE SILVER/13.3" FHD IPS/1Y</v>
          </cell>
          <cell r="H101">
            <v>21995</v>
          </cell>
          <cell r="I101">
            <v>17801</v>
          </cell>
          <cell r="J101">
            <v>18915</v>
          </cell>
          <cell r="K101">
            <v>15308</v>
          </cell>
          <cell r="L101">
            <v>3080</v>
          </cell>
          <cell r="M101">
            <v>2493</v>
          </cell>
          <cell r="N101" t="str">
            <v>01 - 29 MARCH</v>
          </cell>
          <cell r="O101" t="str">
            <v>(NB20260315)_Mar_Sellout Support_RF _Asus_Select</v>
          </cell>
        </row>
        <row r="102">
          <cell r="C102" t="str">
            <v>RF M515DA-BQ512WS</v>
          </cell>
          <cell r="E102" t="str">
            <v>M515DA-BQ512WS</v>
          </cell>
          <cell r="F102" t="str">
            <v>90NB0T42-M00BA0</v>
          </cell>
          <cell r="G102" t="str">
            <v>R5-3500U//8G/512G PCIe SSD/TRANSPARENT SILVER/15.6"FHD vIPS/1Y international warranty + McAfee/Win 11 + Office H&amp;S/Finger Print/</v>
          </cell>
          <cell r="H102">
            <v>21594</v>
          </cell>
          <cell r="I102">
            <v>17477</v>
          </cell>
          <cell r="J102">
            <v>19074</v>
          </cell>
          <cell r="K102">
            <v>15437</v>
          </cell>
          <cell r="L102">
            <v>2520</v>
          </cell>
          <cell r="M102">
            <v>2040</v>
          </cell>
          <cell r="N102" t="str">
            <v>01 - 29 MARCH</v>
          </cell>
          <cell r="O102" t="str">
            <v>(NB20260315)_Mar_Sellout Support_RF _Asus_Select</v>
          </cell>
        </row>
        <row r="103">
          <cell r="C103" t="str">
            <v>RF X509FA-EJ582T</v>
          </cell>
          <cell r="E103" t="str">
            <v>X509FA-EJ582T</v>
          </cell>
          <cell r="F103" t="str">
            <v>90NB0MZ2-M09100</v>
          </cell>
          <cell r="G103" t="str">
            <v>i5-8265U//8G/1T/SLATE GREY/15.6"FHD/1Y international warranty//Finger Print/</v>
          </cell>
          <cell r="H103">
            <v>21594</v>
          </cell>
          <cell r="I103">
            <v>17477</v>
          </cell>
          <cell r="J103">
            <v>19074</v>
          </cell>
          <cell r="K103">
            <v>15437</v>
          </cell>
          <cell r="L103">
            <v>2520</v>
          </cell>
          <cell r="M103">
            <v>2040</v>
          </cell>
          <cell r="N103" t="str">
            <v>01 - 29 MARCH</v>
          </cell>
          <cell r="O103" t="str">
            <v>(NB20260315)_Mar_Sellout Support_RF _Asus_Select</v>
          </cell>
        </row>
        <row r="104">
          <cell r="C104" t="str">
            <v>RF X515JA-BQ501W</v>
          </cell>
          <cell r="E104" t="str">
            <v>X515JA-BQ501W</v>
          </cell>
          <cell r="F104" t="str">
            <v>90NB0SR2-M00BZ0</v>
          </cell>
          <cell r="G104" t="str">
            <v xml:space="preserve">i5 1035G1 /  / 8GB / 1TB HDD / Transparent Silver / 15.6-inch / FHD v_IPS / 1Y International Warranty / McAfee / Win 11 /  / FingerPrint /  /  / </v>
          </cell>
          <cell r="H104">
            <v>21594</v>
          </cell>
          <cell r="I104">
            <v>17477</v>
          </cell>
          <cell r="J104">
            <v>19074</v>
          </cell>
          <cell r="K104">
            <v>15437</v>
          </cell>
          <cell r="L104">
            <v>2520</v>
          </cell>
          <cell r="M104">
            <v>2040</v>
          </cell>
          <cell r="N104" t="str">
            <v>01 - 29 MARCH</v>
          </cell>
          <cell r="O104" t="str">
            <v>(NB20260315)_Mar_Sellout Support_RF _Asus_Select</v>
          </cell>
        </row>
        <row r="105">
          <cell r="C105" t="str">
            <v>RF K513EA-BN333TS</v>
          </cell>
          <cell r="E105" t="str">
            <v>K513EA-BN333TS</v>
          </cell>
          <cell r="F105" t="str">
            <v>90NB0SG2-M16070</v>
          </cell>
          <cell r="G105" t="str">
            <v>i3-1115G4//8G/256 PCIe SSD/TRANSPARENT SILVER/15.6"FHD IPS/1Y international warranty + McAfee/Office H&amp;S/Backlit KB/Finger Print</v>
          </cell>
          <cell r="H105">
            <v>21693</v>
          </cell>
          <cell r="I105">
            <v>17557</v>
          </cell>
          <cell r="J105">
            <v>19523</v>
          </cell>
          <cell r="K105">
            <v>15800</v>
          </cell>
          <cell r="L105">
            <v>2170</v>
          </cell>
          <cell r="M105">
            <v>1757</v>
          </cell>
          <cell r="N105" t="str">
            <v>01 - 29 MARCH</v>
          </cell>
          <cell r="O105" t="str">
            <v>(NB20260315)_Mar_Sellout Support_RF _Asus_Select</v>
          </cell>
        </row>
        <row r="106">
          <cell r="C106" t="str">
            <v>RF X1500EA-EJ322WS</v>
          </cell>
          <cell r="E106" t="str">
            <v>X1500EA-EJ322WS</v>
          </cell>
          <cell r="F106" t="str">
            <v>90NB0TY5-M01FU0</v>
          </cell>
          <cell r="G106" t="str">
            <v xml:space="preserve">Intel® i3-1115G4  / 8GB DDR4 /  / 512GB PCIe® 3.0 SSD / 15.6-inch / FHD (1920 x 1080) 16:9 aspect ratio /  / Intel® UHD Graphics /  / Indie Black /  /  / Chiclet Keyboard   / Windows 11 Home / Office Home and Student 2021 </v>
          </cell>
          <cell r="H106">
            <v>21693</v>
          </cell>
          <cell r="I106">
            <v>17557</v>
          </cell>
          <cell r="J106">
            <v>19523</v>
          </cell>
          <cell r="K106">
            <v>15800</v>
          </cell>
          <cell r="L106">
            <v>2170</v>
          </cell>
          <cell r="M106">
            <v>1757</v>
          </cell>
          <cell r="N106" t="str">
            <v>01 - 29 MARCH</v>
          </cell>
          <cell r="O106" t="str">
            <v>(NB20260315)_Mar_Sellout Support_RF _Asus_Select</v>
          </cell>
        </row>
        <row r="107">
          <cell r="C107" t="str">
            <v>RF E510KAB-BR1125WS</v>
          </cell>
          <cell r="E107" t="str">
            <v>E510KAB-BR1125WS</v>
          </cell>
          <cell r="F107" t="str">
            <v>90NB0UJ5-M01PT0</v>
          </cell>
          <cell r="G107" t="str">
            <v xml:space="preserve">Intel® Celeron® N4500  / 8GB DDR4  / 512GB PCIe® 3.0 SSD / 15.6-inch / FHD (1920 x 1080) 16:9  /  / Star Black /  / Win 11 Home / OFFICE HOME 24(IN)+M365 BASIC / </v>
          </cell>
          <cell r="H107">
            <v>23192</v>
          </cell>
          <cell r="I107">
            <v>18770</v>
          </cell>
          <cell r="J107">
            <v>19692</v>
          </cell>
          <cell r="K107">
            <v>15937</v>
          </cell>
          <cell r="L107">
            <v>3500</v>
          </cell>
          <cell r="M107">
            <v>2833</v>
          </cell>
          <cell r="N107" t="str">
            <v>01 - 29 MARCH</v>
          </cell>
          <cell r="O107" t="str">
            <v>(NB20260315)_Mar_Sellout Support_RF _Asus_Select</v>
          </cell>
        </row>
        <row r="108">
          <cell r="C108" t="str">
            <v>RF E510KA-EJ9011WS</v>
          </cell>
          <cell r="E108" t="str">
            <v>E510KA-EJ9011WS</v>
          </cell>
          <cell r="F108" t="str">
            <v>90NB0UJ5-M01D30</v>
          </cell>
          <cell r="G108" t="str">
            <v xml:space="preserve">Intel® Celeron® N4500  / 8GB DDR4  / 512GB PCIe® 3.0 SSD / 15.6-inch / FHD (1920 x 1080) 16:9  /  / Star Black /  /  / FingerPrint /  / Win 11 Home / Office Home 2024 &amp; M365 Basic 1 Year / </v>
          </cell>
          <cell r="H108">
            <v>23192</v>
          </cell>
          <cell r="I108">
            <v>18770</v>
          </cell>
          <cell r="J108">
            <v>19692</v>
          </cell>
          <cell r="K108">
            <v>15937</v>
          </cell>
          <cell r="L108">
            <v>3500</v>
          </cell>
          <cell r="M108">
            <v>2833</v>
          </cell>
          <cell r="N108" t="str">
            <v>01 - 29 MARCH</v>
          </cell>
          <cell r="O108" t="str">
            <v>(NB20260315)_Mar_Sellout Support_RF _Asus_Select</v>
          </cell>
        </row>
        <row r="109">
          <cell r="C109" t="str">
            <v>RF UX481FL-BM5811T</v>
          </cell>
          <cell r="E109" t="str">
            <v>UX481FL-BM5811T</v>
          </cell>
          <cell r="F109" t="str">
            <v>90NB0P61-M04180</v>
          </cell>
          <cell r="G109" t="str">
            <v>i5-10210U/MX250/8G/512G PCIe SSD/CELESTIAL BLUE/14.0"FHD IPS/1Y</v>
          </cell>
          <cell r="H109">
            <v>22995</v>
          </cell>
          <cell r="I109">
            <v>18610</v>
          </cell>
          <cell r="J109">
            <v>19775</v>
          </cell>
          <cell r="K109">
            <v>16004</v>
          </cell>
          <cell r="L109">
            <v>3220</v>
          </cell>
          <cell r="M109">
            <v>2606</v>
          </cell>
          <cell r="N109" t="str">
            <v>01 - 29 MARCH</v>
          </cell>
          <cell r="O109" t="str">
            <v>(NB20260315)_Mar_Sellout Support_RF _Asus_Select</v>
          </cell>
        </row>
        <row r="110">
          <cell r="C110" t="str">
            <v>RF X509JA-BQ840T</v>
          </cell>
          <cell r="E110" t="str">
            <v>X509JA-BQ840T</v>
          </cell>
          <cell r="F110" t="str">
            <v>90NB0QE2-M17670</v>
          </cell>
          <cell r="G110" t="str">
            <v>i5-1035G1//8G/1T/SLATE GREY/15.6"FHD vIPS/1Y international warranty//Finger Print/</v>
          </cell>
          <cell r="H110">
            <v>22794</v>
          </cell>
          <cell r="I110">
            <v>18448</v>
          </cell>
          <cell r="J110">
            <v>20134</v>
          </cell>
          <cell r="K110">
            <v>16295</v>
          </cell>
          <cell r="L110">
            <v>2660</v>
          </cell>
          <cell r="M110">
            <v>2153</v>
          </cell>
          <cell r="N110" t="str">
            <v>01 - 29 MARCH</v>
          </cell>
          <cell r="O110" t="str">
            <v>(NB20260315)_Mar_Sellout Support_RF _Asus_Select</v>
          </cell>
        </row>
        <row r="111">
          <cell r="C111" t="str">
            <v>RF X515JA-EJ501T</v>
          </cell>
          <cell r="E111" t="str">
            <v>X515JA-EJ501T</v>
          </cell>
          <cell r="F111" t="str">
            <v>90NB0SR1-M07110</v>
          </cell>
          <cell r="G111" t="str">
            <v>i5-1035G1//8G/1T/SLATE GREY/15.6"FHD/1Y international warranty + McAfee//Finger Print/</v>
          </cell>
          <cell r="H111">
            <v>22794</v>
          </cell>
          <cell r="I111">
            <v>18448</v>
          </cell>
          <cell r="J111">
            <v>20134</v>
          </cell>
          <cell r="K111">
            <v>16295</v>
          </cell>
          <cell r="L111">
            <v>2660</v>
          </cell>
          <cell r="M111">
            <v>2153</v>
          </cell>
          <cell r="N111" t="str">
            <v>01 - 29 MARCH</v>
          </cell>
          <cell r="O111" t="str">
            <v>(NB20260315)_Mar_Sellout Support_RF _Asus_Select</v>
          </cell>
        </row>
        <row r="112">
          <cell r="C112" t="str">
            <v>RF X515JA-EJ502TS</v>
          </cell>
          <cell r="E112" t="str">
            <v>X515JA-EJ502TS</v>
          </cell>
          <cell r="F112" t="str">
            <v>90NB0SR2-M07240</v>
          </cell>
          <cell r="G112" t="str">
            <v>i5-1035G1//8G/1T/TRANSPARENT SILVER/15.6"FHD/1Y international warranty + McAfee/Office H&amp;S/Finger Print/</v>
          </cell>
          <cell r="H112">
            <v>22794</v>
          </cell>
          <cell r="I112">
            <v>18448</v>
          </cell>
          <cell r="J112">
            <v>20134</v>
          </cell>
          <cell r="K112">
            <v>16295</v>
          </cell>
          <cell r="L112">
            <v>2660</v>
          </cell>
          <cell r="M112">
            <v>2153</v>
          </cell>
          <cell r="N112" t="str">
            <v>01 - 29 MARCH</v>
          </cell>
          <cell r="O112" t="str">
            <v>(NB20260315)_Mar_Sellout Support_RF _Asus_Select</v>
          </cell>
        </row>
        <row r="113">
          <cell r="C113" t="str">
            <v>RF K413EA-EB302TS</v>
          </cell>
          <cell r="E113" t="str">
            <v>K413EA-EB302TS</v>
          </cell>
          <cell r="F113" t="str">
            <v>90NB0RLF-M12120</v>
          </cell>
          <cell r="G113" t="str">
            <v>i3-1115G4//8G/512 PCIe SSD/INDIE BLACK/14.0"FHD vIPS/1Y international warranty + McAfee/Office H&amp;S/Backlit KB/Finger Print</v>
          </cell>
          <cell r="H113">
            <v>22393</v>
          </cell>
          <cell r="I113">
            <v>18123</v>
          </cell>
          <cell r="J113">
            <v>20153</v>
          </cell>
          <cell r="K113">
            <v>16310</v>
          </cell>
          <cell r="L113">
            <v>2240</v>
          </cell>
          <cell r="M113">
            <v>1813</v>
          </cell>
          <cell r="N113" t="str">
            <v>01 - 29 MARCH</v>
          </cell>
          <cell r="O113" t="str">
            <v>(NB20260315)_Mar_Sellout Support_RF _Asus_Select</v>
          </cell>
        </row>
        <row r="114">
          <cell r="C114" t="str">
            <v>RF K413EA-EB311WS</v>
          </cell>
          <cell r="E114" t="str">
            <v>K413EA-EB311WS</v>
          </cell>
          <cell r="F114" t="str">
            <v>90NB0RLB-M007D0</v>
          </cell>
          <cell r="G114" t="str">
            <v xml:space="preserve">i3 1125G4 /  / 8GB / 512GB SSD / Transparent Silver / 14.0-inch / FHD v_IPS / 1Y International Warranty / McAfee / Win 11 / Office H&amp;S 2021 / FingerPrint / Backlit KB /  / </v>
          </cell>
          <cell r="H114">
            <v>22393</v>
          </cell>
          <cell r="I114">
            <v>18123</v>
          </cell>
          <cell r="J114">
            <v>20153</v>
          </cell>
          <cell r="K114">
            <v>16310</v>
          </cell>
          <cell r="L114">
            <v>2240</v>
          </cell>
          <cell r="M114">
            <v>1813</v>
          </cell>
          <cell r="N114" t="str">
            <v>01 - 29 MARCH</v>
          </cell>
          <cell r="O114" t="str">
            <v>(NB20260315)_Mar_Sellout Support_RF _Asus_Select</v>
          </cell>
        </row>
        <row r="115">
          <cell r="C115" t="str">
            <v>RF X1500EA-EJ326WS</v>
          </cell>
          <cell r="E115" t="str">
            <v>X1500EA-EJ326WS</v>
          </cell>
          <cell r="F115" t="str">
            <v>90NB0TY6-M03PU0</v>
          </cell>
          <cell r="G115" t="str">
            <v xml:space="preserve">Intel® Core™ i3-1115G4 /  /  / 8GB DDR4 / 512GB PCIe® 3.0 SSD / 15.6-inch / FHD (1920 x 1080) 16:9  /  / Transparent Silver / Backlit KB / Win 11 Home / MS Office / </v>
          </cell>
          <cell r="H115">
            <v>22393</v>
          </cell>
          <cell r="I115">
            <v>18123</v>
          </cell>
          <cell r="J115">
            <v>20153</v>
          </cell>
          <cell r="K115">
            <v>16310</v>
          </cell>
          <cell r="L115">
            <v>2240</v>
          </cell>
          <cell r="M115">
            <v>1813</v>
          </cell>
          <cell r="N115" t="str">
            <v>01 - 29 MARCH</v>
          </cell>
          <cell r="O115" t="str">
            <v>(NB20260315)_Mar_Sellout Support_RF _Asus_Select</v>
          </cell>
        </row>
        <row r="116">
          <cell r="C116" t="str">
            <v>RF X1500EA-EJ327WS</v>
          </cell>
          <cell r="E116" t="str">
            <v>X1500EA-EJ327WS</v>
          </cell>
          <cell r="F116" t="str">
            <v>90NB0TY5-M048D0</v>
          </cell>
          <cell r="G116" t="str">
            <v xml:space="preserve">Intel® Core™ i3-1115G4 /  /  / 8GB DDR4 / 512GB PCIe® 3.0 SSD / 15.6-inch / FHD (1920 x 1080) 16:9  /  / Indie Black / Backlit KB / Win 11 Home / MS Office / </v>
          </cell>
          <cell r="H116">
            <v>22393</v>
          </cell>
          <cell r="I116">
            <v>18123</v>
          </cell>
          <cell r="J116">
            <v>20153</v>
          </cell>
          <cell r="K116">
            <v>16310</v>
          </cell>
          <cell r="L116">
            <v>2240</v>
          </cell>
          <cell r="M116">
            <v>1813</v>
          </cell>
          <cell r="N116" t="str">
            <v>01 - 29 MARCH</v>
          </cell>
          <cell r="O116" t="str">
            <v>(NB20260315)_Mar_Sellout Support_RF _Asus_Select</v>
          </cell>
        </row>
        <row r="117">
          <cell r="C117" t="str">
            <v>RF X1500EA-EJ3379WS</v>
          </cell>
          <cell r="E117" t="str">
            <v>X1500EA-EJ3379WS</v>
          </cell>
          <cell r="F117" t="str">
            <v>90NB0TY6-M03EL0</v>
          </cell>
          <cell r="G117" t="str">
            <v xml:space="preserve">Intel® i3-1115G4  / 8GB DDR4 /  / 512GB PCIe® 3.0 SSD / 15.6-inch / FHD (1920 x 1080) 16:9 aspect ratio / Fingerprint / Intel® UHD Graphics /  / Transparent Silver /  /  / Chiclet Keyboard   / Windows 11 Home / Office Home and Student 2021 / </v>
          </cell>
          <cell r="H117">
            <v>22393</v>
          </cell>
          <cell r="I117">
            <v>18123</v>
          </cell>
          <cell r="J117">
            <v>20153</v>
          </cell>
          <cell r="K117">
            <v>16310</v>
          </cell>
          <cell r="L117">
            <v>2240</v>
          </cell>
          <cell r="M117">
            <v>1813</v>
          </cell>
          <cell r="N117" t="str">
            <v>01 - 29 MARCH</v>
          </cell>
          <cell r="O117" t="str">
            <v>(NB20260315)_Mar_Sellout Support_RF _Asus_Select</v>
          </cell>
        </row>
        <row r="118">
          <cell r="C118" t="str">
            <v>RF X1500EA-EJ3381WS</v>
          </cell>
          <cell r="E118" t="str">
            <v>X1500EA-EJ3381WS</v>
          </cell>
          <cell r="F118" t="str">
            <v>90NB0TY5-M03EN0</v>
          </cell>
          <cell r="G118" t="str">
            <v xml:space="preserve">Intel® i3-1115G4  / 8GB DDR4 /  / 512GB PCIe® 3.0 SSD / 15.6-inch / FHD (1920 x 1080) 16:9 aspect ratio / Fingerprint / Intel® UHD Graphics /  / Indie Black /  /  / Chiclet Keyboard   / Windows 11 Home / Office Home and Student 2021 / </v>
          </cell>
          <cell r="H118">
            <v>22393</v>
          </cell>
          <cell r="I118">
            <v>18123</v>
          </cell>
          <cell r="J118">
            <v>20153</v>
          </cell>
          <cell r="K118">
            <v>16310</v>
          </cell>
          <cell r="L118">
            <v>2240</v>
          </cell>
          <cell r="M118">
            <v>1813</v>
          </cell>
          <cell r="N118" t="str">
            <v>01 - 29 MARCH</v>
          </cell>
          <cell r="O118" t="str">
            <v>(NB20260315)_Mar_Sellout Support_RF _Asus_Select</v>
          </cell>
        </row>
        <row r="119">
          <cell r="C119" t="str">
            <v>RF X415EA-EB322WS</v>
          </cell>
          <cell r="E119" t="str">
            <v>X415EA-EB322WS</v>
          </cell>
          <cell r="F119" t="str">
            <v>90NB0TT1-M00HS0</v>
          </cell>
          <cell r="G119" t="str">
            <v>i3-1115G4//8G/512G PCIe SSD/Transperant Silver/14.0"FHD vIPS/1Y international warranty + McAfee/Office H&amp;S/Finger Print/Win 11</v>
          </cell>
          <cell r="H119">
            <v>22393</v>
          </cell>
          <cell r="I119">
            <v>18123</v>
          </cell>
          <cell r="J119">
            <v>20153</v>
          </cell>
          <cell r="K119">
            <v>16310</v>
          </cell>
          <cell r="L119">
            <v>2240</v>
          </cell>
          <cell r="M119">
            <v>1813</v>
          </cell>
          <cell r="N119" t="str">
            <v>01 - 29 MARCH</v>
          </cell>
          <cell r="O119" t="str">
            <v>(NB20260315)_Mar_Sellout Support_RF _Asus_Select</v>
          </cell>
        </row>
        <row r="120">
          <cell r="C120" t="str">
            <v>RF X415EA-EB372WS</v>
          </cell>
          <cell r="E120" t="str">
            <v>X415EA-EB372WS</v>
          </cell>
          <cell r="F120" t="str">
            <v>90NB0TT1-M00H50</v>
          </cell>
          <cell r="G120" t="str">
            <v>i3-1115G4//8G/1T+256G PCIe SSD/TRANSPERANT SILVER/14.0"FHD vIPS/1Y international warranty + McAfee/Win 11 + Office H&amp;S/Finger Print/</v>
          </cell>
          <cell r="H120">
            <v>22393</v>
          </cell>
          <cell r="I120">
            <v>18123</v>
          </cell>
          <cell r="J120">
            <v>20153</v>
          </cell>
          <cell r="K120">
            <v>16310</v>
          </cell>
          <cell r="L120">
            <v>2240</v>
          </cell>
          <cell r="M120">
            <v>1813</v>
          </cell>
          <cell r="N120" t="str">
            <v>01 - 29 MARCH</v>
          </cell>
          <cell r="O120" t="str">
            <v>(NB20260315)_Mar_Sellout Support_RF _Asus_Select</v>
          </cell>
        </row>
        <row r="121">
          <cell r="C121" t="str">
            <v>RF X515EA-EJ322WS</v>
          </cell>
          <cell r="E121" t="str">
            <v>X515EA-EJ322WS</v>
          </cell>
          <cell r="F121" t="str">
            <v>90NB0TY2-M00JK0</v>
          </cell>
          <cell r="G121" t="str">
            <v>i3-1115G4//8G/512G PCIe SSD/TRANSPARENT SILVER/15.6" FHD/1Y international warranty + McAfee/Win 11 + Office H&amp;S/Finger Print/</v>
          </cell>
          <cell r="H121">
            <v>22393</v>
          </cell>
          <cell r="I121">
            <v>18123</v>
          </cell>
          <cell r="J121">
            <v>20153</v>
          </cell>
          <cell r="K121">
            <v>16310</v>
          </cell>
          <cell r="L121">
            <v>2240</v>
          </cell>
          <cell r="M121">
            <v>1813</v>
          </cell>
          <cell r="N121" t="str">
            <v>01 - 29 MARCH</v>
          </cell>
          <cell r="O121" t="str">
            <v>(NB20260315)_Mar_Sellout Support_RF _Asus_Select</v>
          </cell>
        </row>
        <row r="122">
          <cell r="C122" t="str">
            <v>RF X515EA-EJ328WS</v>
          </cell>
          <cell r="E122" t="str">
            <v>X515EA-EJ328WS</v>
          </cell>
          <cell r="F122" t="str">
            <v>90NB0TY2-M047X0</v>
          </cell>
          <cell r="G122" t="str">
            <v xml:space="preserve">Intel® Core™ i3-1115G4 /  /  / 8GB DDR4 / 512GB PCIe® 3.0 SSD / 15.6-inch / FHD (1920 x 1080) 16:9  /  / Transparent Silver /  / Win 11 Home / MS Office / </v>
          </cell>
          <cell r="H122">
            <v>22393</v>
          </cell>
          <cell r="I122">
            <v>18123</v>
          </cell>
          <cell r="J122">
            <v>20153</v>
          </cell>
          <cell r="K122">
            <v>16310</v>
          </cell>
          <cell r="L122">
            <v>2240</v>
          </cell>
          <cell r="M122">
            <v>1813</v>
          </cell>
          <cell r="N122" t="str">
            <v>01 - 29 MARCH</v>
          </cell>
          <cell r="O122" t="str">
            <v>(NB20260315)_Mar_Sellout Support_RF _Asus_Select</v>
          </cell>
        </row>
        <row r="123">
          <cell r="C123" t="str">
            <v>RF UX431FL-AN088T</v>
          </cell>
          <cell r="E123" t="str">
            <v>UX431FL-AN088T</v>
          </cell>
          <cell r="F123" t="str">
            <v>90NB0PE1-M01890</v>
          </cell>
          <cell r="G123" t="str">
            <v>i5-8265U/MX250/8G/512SSD/SILVER BLUE/14.0" FHD/1Y international warranty//NumberPad</v>
          </cell>
          <cell r="H123">
            <v>23495</v>
          </cell>
          <cell r="I123">
            <v>19015</v>
          </cell>
          <cell r="J123">
            <v>20205</v>
          </cell>
          <cell r="K123">
            <v>16352</v>
          </cell>
          <cell r="L123">
            <v>3290</v>
          </cell>
          <cell r="M123">
            <v>2663</v>
          </cell>
          <cell r="N123" t="str">
            <v>01 - 29 MARCH</v>
          </cell>
          <cell r="O123" t="str">
            <v>(NB20260315)_Mar_Sellout Support_RF _Asus_Select</v>
          </cell>
        </row>
        <row r="124">
          <cell r="C124" t="str">
            <v>RF X515JA-EJ552WS</v>
          </cell>
          <cell r="E124" t="str">
            <v>X515JA-EJ552WS</v>
          </cell>
          <cell r="F124" t="str">
            <v>90NB0SR2-M02EU0</v>
          </cell>
          <cell r="G124" t="str">
            <v>Intel® Core™ i5-1035G1 / Intel® UHD Graphics / Transparent Silver / 8GB DDR4 / 512GB SSD / 15.6-inch / FHD  / FingerPrint / Windows 11 Home / Office Home and Student 2021</v>
          </cell>
          <cell r="H124">
            <v>23394</v>
          </cell>
          <cell r="I124">
            <v>18933</v>
          </cell>
          <cell r="J124">
            <v>20664</v>
          </cell>
          <cell r="K124">
            <v>16724</v>
          </cell>
          <cell r="L124">
            <v>2730</v>
          </cell>
          <cell r="M124">
            <v>2209</v>
          </cell>
          <cell r="N124" t="str">
            <v>01 - 29 MARCH</v>
          </cell>
          <cell r="O124" t="str">
            <v>(NB20260315)_Mar_Sellout Support_RF _Asus_Select</v>
          </cell>
        </row>
        <row r="125">
          <cell r="C125" t="str">
            <v>RF X515JA-EJ562WS</v>
          </cell>
          <cell r="E125" t="str">
            <v>X515JA-EJ562WS</v>
          </cell>
          <cell r="F125" t="str">
            <v>90NB0SR2-M44030</v>
          </cell>
          <cell r="G125" t="str">
            <v>i5-1035G1//8G/512 PCIe SSD + 32G Optane/TRANSPARENT SILVER/15.6" FHD/1Y international warranty + McAfee/Win 11 + Office H&amp;S/Finger Print/</v>
          </cell>
          <cell r="H125">
            <v>23394</v>
          </cell>
          <cell r="I125">
            <v>18933</v>
          </cell>
          <cell r="J125">
            <v>20664</v>
          </cell>
          <cell r="K125">
            <v>16724</v>
          </cell>
          <cell r="L125">
            <v>2730</v>
          </cell>
          <cell r="M125">
            <v>2209</v>
          </cell>
          <cell r="N125" t="str">
            <v>01 - 29 MARCH</v>
          </cell>
          <cell r="O125" t="str">
            <v>(NB20260315)_Mar_Sellout Support_RF _Asus_Select</v>
          </cell>
        </row>
        <row r="126">
          <cell r="C126" t="str">
            <v>RF K513EA-L11647T</v>
          </cell>
          <cell r="E126" t="str">
            <v>K513EA-L11647T</v>
          </cell>
          <cell r="F126" t="str">
            <v>90NB0SG2-M25220</v>
          </cell>
          <cell r="G126" t="str">
            <v>Intel® Core™ i3-1115G4 /4GB DDR4 on board/512GB 3.0 SSD/15.6 inch/FHD (1920 x 1080) OLED 16:9 /Spangle Silver/Fingerprint/Win 10 Home</v>
          </cell>
          <cell r="H126">
            <v>23093</v>
          </cell>
          <cell r="I126">
            <v>18690</v>
          </cell>
          <cell r="J126">
            <v>20783</v>
          </cell>
          <cell r="K126">
            <v>16820</v>
          </cell>
          <cell r="L126">
            <v>2310</v>
          </cell>
          <cell r="M126">
            <v>1870</v>
          </cell>
          <cell r="N126" t="str">
            <v>01 - 29 MARCH</v>
          </cell>
          <cell r="O126" t="str">
            <v>(NB20260315)_Mar_Sellout Support_RF _Asus_Select</v>
          </cell>
        </row>
        <row r="127">
          <cell r="C127" t="str">
            <v>RF X1502ZA-EJ301WS</v>
          </cell>
          <cell r="E127" t="str">
            <v>X1502ZA-EJ301WS</v>
          </cell>
          <cell r="F127" t="str">
            <v>90NB0VX1-M009L0</v>
          </cell>
          <cell r="G127" t="str">
            <v xml:space="preserve">Intel® i3-1220P  / 8GB DDR4 /  / 256GB PCIe® 3.0 SSD / 15.6-inch / FHD (1920 x 1080) 16:9 aspect ratio /  / Quiet Blue /  / FingerPrint / Chiclet Keyboard / Windows 11 Home / Office Home and Student 2021 </v>
          </cell>
          <cell r="H127">
            <v>24493</v>
          </cell>
          <cell r="I127">
            <v>19823</v>
          </cell>
          <cell r="J127">
            <v>20993</v>
          </cell>
          <cell r="K127">
            <v>16990</v>
          </cell>
          <cell r="L127">
            <v>3500</v>
          </cell>
          <cell r="M127">
            <v>2833</v>
          </cell>
          <cell r="N127" t="str">
            <v>01 - 29 MARCH</v>
          </cell>
          <cell r="O127" t="str">
            <v>(NB20260315)_Mar_Sellout Support_RF _Asus_Select</v>
          </cell>
        </row>
        <row r="128">
          <cell r="C128" t="str">
            <v>RF S403JA-BM034TS</v>
          </cell>
          <cell r="E128" t="str">
            <v>S403JA-BM034TS</v>
          </cell>
          <cell r="F128" t="str">
            <v>90NB0RJ4-M00880</v>
          </cell>
          <cell r="G128" t="str">
            <v>i5-1035G1//8G/512 PCIe SSD / 32G Optane/PINK METAL/14.0" FHD/1Y international warranty/Office H&amp;S/</v>
          </cell>
          <cell r="H128">
            <v>23994</v>
          </cell>
          <cell r="I128">
            <v>19419</v>
          </cell>
          <cell r="J128">
            <v>21194</v>
          </cell>
          <cell r="K128">
            <v>17153</v>
          </cell>
          <cell r="L128">
            <v>2800</v>
          </cell>
          <cell r="M128">
            <v>2266</v>
          </cell>
          <cell r="N128" t="str">
            <v>01 - 29 MARCH</v>
          </cell>
          <cell r="O128" t="str">
            <v>(NB20260315)_Mar_Sellout Support_RF _Asus_Select</v>
          </cell>
        </row>
        <row r="129">
          <cell r="C129" t="str">
            <v>RF X409JA-EK581T</v>
          </cell>
          <cell r="E129" t="str">
            <v>X409JA-EK581T</v>
          </cell>
          <cell r="F129" t="str">
            <v>90NB0Q91-M00690</v>
          </cell>
          <cell r="G129" t="str">
            <v>i5-1035G1//8G/1T/TRANSPARENT SILVER/14.0"FHD/1Y international warranty//Finger Print</v>
          </cell>
          <cell r="H129">
            <v>23994</v>
          </cell>
          <cell r="I129">
            <v>19419</v>
          </cell>
          <cell r="J129">
            <v>21194</v>
          </cell>
          <cell r="K129">
            <v>17153</v>
          </cell>
          <cell r="L129">
            <v>2800</v>
          </cell>
          <cell r="M129">
            <v>2266</v>
          </cell>
          <cell r="N129" t="str">
            <v>01 - 29 MARCH</v>
          </cell>
          <cell r="O129" t="str">
            <v>(NB20260315)_Mar_Sellout Support_RF _Asus_Select</v>
          </cell>
        </row>
        <row r="130">
          <cell r="C130" t="str">
            <v>RF X409JA-EK592T</v>
          </cell>
          <cell r="E130" t="str">
            <v>X409JA-EK592T</v>
          </cell>
          <cell r="F130" t="str">
            <v>90NB0Q92-M00720</v>
          </cell>
          <cell r="G130" t="str">
            <v>i5-1035G1//8G/512G PCIe SSD/SLATE GREY/14.0"FHD/1Y international warranty//</v>
          </cell>
          <cell r="H130">
            <v>23994</v>
          </cell>
          <cell r="I130">
            <v>19419</v>
          </cell>
          <cell r="J130">
            <v>21194</v>
          </cell>
          <cell r="K130">
            <v>17153</v>
          </cell>
          <cell r="L130">
            <v>2800</v>
          </cell>
          <cell r="M130">
            <v>2266</v>
          </cell>
          <cell r="N130" t="str">
            <v>01 - 29 MARCH</v>
          </cell>
          <cell r="O130" t="str">
            <v>(NB20260315)_Mar_Sellout Support_RF _Asus_Select</v>
          </cell>
        </row>
        <row r="131">
          <cell r="C131" t="str">
            <v>RF X415JA-EK085TS</v>
          </cell>
          <cell r="E131" t="str">
            <v>X415JA-EK085TS</v>
          </cell>
          <cell r="F131" t="str">
            <v>90NB0ST1-M02710</v>
          </cell>
          <cell r="G131" t="str">
            <v>i5-1035G1//8G/1TB HDD/TRANSPARENT SILVER/14" FHD/1Y international warranty + McAfee/Office H&amp;S/Finger Print/</v>
          </cell>
          <cell r="H131">
            <v>23994</v>
          </cell>
          <cell r="I131">
            <v>19419</v>
          </cell>
          <cell r="J131">
            <v>21194</v>
          </cell>
          <cell r="K131">
            <v>17153</v>
          </cell>
          <cell r="L131">
            <v>2800</v>
          </cell>
          <cell r="M131">
            <v>2266</v>
          </cell>
          <cell r="N131" t="str">
            <v>01 - 29 MARCH</v>
          </cell>
          <cell r="O131" t="str">
            <v>(NB20260315)_Mar_Sellout Support_RF _Asus_Select</v>
          </cell>
        </row>
        <row r="132">
          <cell r="C132" t="str">
            <v>RF X540UA-DM1027T</v>
          </cell>
          <cell r="E132" t="str">
            <v>X540UA-DM1027T</v>
          </cell>
          <cell r="F132" t="str">
            <v>90NB0HF1-M24250</v>
          </cell>
          <cell r="G132" t="str">
            <v>i5-8250U/UMA/4G/1T/BLACK/15.6"FHD/1Y</v>
          </cell>
          <cell r="H132">
            <v>23994</v>
          </cell>
          <cell r="I132">
            <v>19419</v>
          </cell>
          <cell r="J132">
            <v>21194</v>
          </cell>
          <cell r="K132">
            <v>17153</v>
          </cell>
          <cell r="L132">
            <v>2800</v>
          </cell>
          <cell r="M132">
            <v>2266</v>
          </cell>
          <cell r="N132" t="str">
            <v>01 - 29 MARCH</v>
          </cell>
          <cell r="O132" t="str">
            <v>(NB20260315)_Mar_Sellout Support_RF _Asus_Select</v>
          </cell>
        </row>
        <row r="133">
          <cell r="C133" t="str">
            <v>RF K513EA-L11670W</v>
          </cell>
          <cell r="E133" t="str">
            <v>K513EA-L11670W</v>
          </cell>
          <cell r="F133" t="str">
            <v>90NB0SG2-M37210</v>
          </cell>
          <cell r="G133" t="str">
            <v>Intel® Core™ i3-1115G4 /4GB DDR4 on board/1TB HDD+256GB 3.0 SSD/15.6 inch/FHD (1920 x 1080) OLED 16:9 /Spangle Silver/Fingerprint/Win 11 Home</v>
          </cell>
          <cell r="H133">
            <v>23793</v>
          </cell>
          <cell r="I133">
            <v>19256</v>
          </cell>
          <cell r="J133">
            <v>21413</v>
          </cell>
          <cell r="K133">
            <v>17330</v>
          </cell>
          <cell r="L133">
            <v>2380</v>
          </cell>
          <cell r="M133">
            <v>1926</v>
          </cell>
          <cell r="N133" t="str">
            <v>01 - 29 MARCH</v>
          </cell>
          <cell r="O133" t="str">
            <v>(NB20260315)_Mar_Sellout Support_RF _Asus_Select</v>
          </cell>
        </row>
        <row r="134">
          <cell r="C134" t="str">
            <v>RF X1402ZA-MW312WS</v>
          </cell>
          <cell r="E134" t="str">
            <v>X1402ZA-MW312WS</v>
          </cell>
          <cell r="F134" t="str">
            <v>90NB0WP1-M00700</v>
          </cell>
          <cell r="G134" t="str">
            <v>i3-1220P//8G/512 PCIe SSD/TRANSPARENT SILVER/14.0" FHD touch/1Y international warranty + McAfee/Win 11 + Office H&amp;S/Finger Print</v>
          </cell>
          <cell r="H134">
            <v>25193</v>
          </cell>
          <cell r="I134">
            <v>20389</v>
          </cell>
          <cell r="J134">
            <v>21693</v>
          </cell>
          <cell r="K134">
            <v>17557</v>
          </cell>
          <cell r="L134">
            <v>3500</v>
          </cell>
          <cell r="M134">
            <v>2832</v>
          </cell>
          <cell r="N134" t="str">
            <v>01 - 29 MARCH</v>
          </cell>
          <cell r="O134" t="str">
            <v>(NB20260315)_Mar_Sellout Support_RF _Asus_Select</v>
          </cell>
        </row>
        <row r="135">
          <cell r="C135" t="str">
            <v>RF X1502ZA-EJ302WS</v>
          </cell>
          <cell r="E135" t="str">
            <v>X1502ZA-EJ302WS</v>
          </cell>
          <cell r="F135" t="str">
            <v>90NB0VX2-M009M0</v>
          </cell>
          <cell r="G135" t="str">
            <v xml:space="preserve">Intel® i3-1220P  / 8GB DDR4 /  / 256GB PCIe® 3.0 SSD / 15.6-inch / FHD (1920 x 1080) 16:9 aspect ratio /  / Icelight Silver /  / FingerPrint / Chiclet Keyboard / Windows 11 Home / Office Home and Student 2021 </v>
          </cell>
          <cell r="H135">
            <v>24493</v>
          </cell>
          <cell r="I135">
            <v>19823</v>
          </cell>
          <cell r="J135">
            <v>21693</v>
          </cell>
          <cell r="K135">
            <v>17557</v>
          </cell>
          <cell r="L135">
            <v>2800</v>
          </cell>
          <cell r="M135">
            <v>2266</v>
          </cell>
          <cell r="N135" t="str">
            <v>01 - 29 MARCH</v>
          </cell>
          <cell r="O135" t="str">
            <v>(NB20260315)_Mar_Sellout Support_RF _Asus_Select</v>
          </cell>
        </row>
        <row r="136">
          <cell r="C136" t="str">
            <v>RF X1502ZA-EJ312WS</v>
          </cell>
          <cell r="E136" t="str">
            <v>X1502ZA-EJ312WS</v>
          </cell>
          <cell r="F136" t="str">
            <v>90NB0VX2-M00VU0</v>
          </cell>
          <cell r="G136" t="str">
            <v xml:space="preserve">Intel® i3-1220P  / 8GB DDR4 /  / 512GB PCIe® 3.0 SSD / 15.6-inch / FHD (1920 x 1080) 16:9 aspect ratio /  / Icelight Silver /  / FingerPrint / Chiclet Keyboard / Windows 11 Home / Office Home and Student 2021 </v>
          </cell>
          <cell r="H136">
            <v>25193</v>
          </cell>
          <cell r="I136">
            <v>20389</v>
          </cell>
          <cell r="J136">
            <v>21693</v>
          </cell>
          <cell r="K136">
            <v>17557</v>
          </cell>
          <cell r="L136">
            <v>3500</v>
          </cell>
          <cell r="M136">
            <v>2832</v>
          </cell>
          <cell r="N136" t="str">
            <v>01 - 29 MARCH</v>
          </cell>
          <cell r="O136" t="str">
            <v>(NB20260315)_Mar_Sellout Support_RF _Asus_Select</v>
          </cell>
        </row>
        <row r="137">
          <cell r="C137" t="str">
            <v>RF X1502ZA-EJ381WS</v>
          </cell>
          <cell r="E137" t="str">
            <v>X1502ZA-EJ381WS</v>
          </cell>
          <cell r="F137" t="str">
            <v>90NB0VX1-M00W60</v>
          </cell>
          <cell r="G137" t="str">
            <v xml:space="preserve">Intel® Core™ i3-1220P 8GB DDR4  / 512GB PCIe® 3.0 SSD / 15.6-inch / FHD (1920 x 1080) 16:9  /  / Quiet Blue /  /  / FingerPrint /  / Win 11 Home / MS Office / </v>
          </cell>
          <cell r="H137">
            <v>25193</v>
          </cell>
          <cell r="I137">
            <v>20389</v>
          </cell>
          <cell r="J137">
            <v>21693</v>
          </cell>
          <cell r="K137">
            <v>17557</v>
          </cell>
          <cell r="L137">
            <v>3500</v>
          </cell>
          <cell r="M137">
            <v>2832</v>
          </cell>
          <cell r="N137" t="str">
            <v>01 - 29 MARCH</v>
          </cell>
          <cell r="O137" t="str">
            <v>(NB20260315)_Mar_Sellout Support_RF _Asus_Select</v>
          </cell>
        </row>
        <row r="138">
          <cell r="C138" t="str">
            <v>RF X1502ZA-EJ382WS</v>
          </cell>
          <cell r="E138" t="str">
            <v>X1502ZA-EJ382WS</v>
          </cell>
          <cell r="F138" t="str">
            <v>90NB0VX2-M00W70</v>
          </cell>
          <cell r="G138" t="str">
            <v xml:space="preserve">Intel® Core™ i3-1220P 8GB DDR4  / 512GB PCIe® 3.0 SSD / 15.6-inch / FHD (1920 x 1080) 16:9  /  / Icelight Silver /  /  / FingerPrint /  / Win 11 Home / MS Office / </v>
          </cell>
          <cell r="H138">
            <v>25193</v>
          </cell>
          <cell r="I138">
            <v>20389</v>
          </cell>
          <cell r="J138">
            <v>21693</v>
          </cell>
          <cell r="K138">
            <v>17557</v>
          </cell>
          <cell r="L138">
            <v>3500</v>
          </cell>
          <cell r="M138">
            <v>2832</v>
          </cell>
          <cell r="N138" t="str">
            <v>01 - 29 MARCH</v>
          </cell>
          <cell r="O138" t="str">
            <v>(NB20260315)_Mar_Sellout Support_RF _Asus_Select</v>
          </cell>
        </row>
        <row r="139">
          <cell r="C139" t="str">
            <v>RF X1502ZA-EJ385WS</v>
          </cell>
          <cell r="E139" t="str">
            <v>X1502ZA-EJ385WS</v>
          </cell>
          <cell r="F139" t="str">
            <v>90NB0VX1-M02HM0</v>
          </cell>
          <cell r="G139" t="str">
            <v xml:space="preserve">Intel® Core™ i3-1220P 8GB DDR4  / 512GB PCIe® 3.0 SSD / 15.6-inch / FHD (1920 x 1080) 16:9  /  / Quiet Blue /  /  / FingerPrint /  / Win 11 Home / MS Office / </v>
          </cell>
          <cell r="H139">
            <v>25193</v>
          </cell>
          <cell r="I139">
            <v>20389</v>
          </cell>
          <cell r="J139">
            <v>21693</v>
          </cell>
          <cell r="K139">
            <v>17557</v>
          </cell>
          <cell r="L139">
            <v>3500</v>
          </cell>
          <cell r="M139">
            <v>2832</v>
          </cell>
          <cell r="N139" t="str">
            <v>01 - 29 MARCH</v>
          </cell>
          <cell r="O139" t="str">
            <v>(NB20260315)_Mar_Sellout Support_RF _Asus_Select</v>
          </cell>
        </row>
        <row r="140">
          <cell r="C140" t="str">
            <v>RF M415DA-EB712WS</v>
          </cell>
          <cell r="E140" t="str">
            <v>M415DA-EB712WS</v>
          </cell>
          <cell r="F140" t="str">
            <v>90NB0T31-M003U0</v>
          </cell>
          <cell r="G140" t="str">
            <v>R5-3500U//8G/512G PCIe SSD/TRANSPARENT SILVER/14.0"FHD vIPS/1Y international warranty + McAfee/Win 11 + Office H&amp;S/Finger Print/</v>
          </cell>
          <cell r="H140">
            <v>25194</v>
          </cell>
          <cell r="I140">
            <v>20390</v>
          </cell>
          <cell r="J140">
            <v>21694</v>
          </cell>
          <cell r="K140">
            <v>17557</v>
          </cell>
          <cell r="L140">
            <v>3500</v>
          </cell>
          <cell r="M140">
            <v>2833</v>
          </cell>
          <cell r="N140" t="str">
            <v>01 - 29 MARCH</v>
          </cell>
          <cell r="O140" t="str">
            <v>(NB20260315)_Mar_Sellout Support_RF _Asus_Select</v>
          </cell>
        </row>
        <row r="141">
          <cell r="C141" t="str">
            <v>RF X515JA-BQ511WS</v>
          </cell>
          <cell r="E141" t="str">
            <v>X515JA-BQ511WS</v>
          </cell>
          <cell r="F141" t="str">
            <v>90NB0SR2-M00C00</v>
          </cell>
          <cell r="G141" t="str">
            <v>i5-1035G1//8G/256G PCIe SSD/TRANSPARENT SILVER/15.6" FHD vIPS/1Y international warranty + McAfee/Win 11 + Office H&amp;S/Finger Print/HDD housing</v>
          </cell>
          <cell r="H141">
            <v>24594</v>
          </cell>
          <cell r="I141">
            <v>19904</v>
          </cell>
          <cell r="J141">
            <v>21724</v>
          </cell>
          <cell r="K141">
            <v>17582</v>
          </cell>
          <cell r="L141">
            <v>2870</v>
          </cell>
          <cell r="M141">
            <v>2322</v>
          </cell>
          <cell r="N141" t="str">
            <v>01 - 29 MARCH</v>
          </cell>
          <cell r="O141" t="str">
            <v>(NB20260315)_Mar_Sellout Support_RF _Asus_Select</v>
          </cell>
        </row>
        <row r="142">
          <cell r="C142" t="str">
            <v>RF M433IA-EB794TS</v>
          </cell>
          <cell r="E142" t="str">
            <v>M433IA-EB794TS</v>
          </cell>
          <cell r="F142" t="str">
            <v>90NB0QR4-M00520</v>
          </cell>
          <cell r="G142" t="str">
            <v>R7-4700U//8G/512G PCIe SSD/INDIE BLACK/14.0"FHD/1Y international warranty/Office H&amp;S/</v>
          </cell>
          <cell r="H142">
            <v>32495</v>
          </cell>
          <cell r="I142">
            <v>26299</v>
          </cell>
          <cell r="J142">
            <v>21995</v>
          </cell>
          <cell r="K142">
            <v>17801</v>
          </cell>
          <cell r="L142">
            <v>10500</v>
          </cell>
          <cell r="M142">
            <v>8498</v>
          </cell>
          <cell r="N142" t="str">
            <v>01 - 29 MARCH</v>
          </cell>
          <cell r="O142" t="str">
            <v>(NB20260315)_Mar_Sellout Support_RF _Asus_Select</v>
          </cell>
        </row>
        <row r="143">
          <cell r="C143" t="str">
            <v>RF K513EA-L301TS</v>
          </cell>
          <cell r="E143" t="str">
            <v>K513EA-L301TS</v>
          </cell>
          <cell r="F143" t="str">
            <v>90NB0SG3-M12780</v>
          </cell>
          <cell r="G143" t="str">
            <v>i3-1115G4//8G/256G PCIe SSD/HEARTY GOLD/15.6"FHD OLED/1Y international warranty + McAfee/Office H&amp;S/Backlit KB/Finger Print</v>
          </cell>
          <cell r="H143">
            <v>24493</v>
          </cell>
          <cell r="I143">
            <v>19823</v>
          </cell>
          <cell r="J143">
            <v>22043</v>
          </cell>
          <cell r="K143">
            <v>17840</v>
          </cell>
          <cell r="L143">
            <v>2450</v>
          </cell>
          <cell r="M143">
            <v>1983</v>
          </cell>
          <cell r="N143" t="str">
            <v>01 - 29 MARCH</v>
          </cell>
          <cell r="O143" t="str">
            <v>(NB20260315)_Mar_Sellout Support_RF _Asus_Select</v>
          </cell>
        </row>
        <row r="144">
          <cell r="C144" t="str">
            <v>RF K513EA-L301WS</v>
          </cell>
          <cell r="E144" t="str">
            <v>K513EA-L301WS</v>
          </cell>
          <cell r="F144" t="str">
            <v>90NB0SG3-M43670</v>
          </cell>
          <cell r="G144" t="str">
            <v>i3-1115G4//8G/256G PCIe SSD/Spangle Silver/15.6"FHD OLED/1Y international warranty + McAfee/Win 11 + Office H&amp;S/Backlit KB/Finger Print</v>
          </cell>
          <cell r="H144">
            <v>24493</v>
          </cell>
          <cell r="I144">
            <v>19823</v>
          </cell>
          <cell r="J144">
            <v>22043</v>
          </cell>
          <cell r="K144">
            <v>17840</v>
          </cell>
          <cell r="L144">
            <v>2450</v>
          </cell>
          <cell r="M144">
            <v>1983</v>
          </cell>
          <cell r="N144" t="str">
            <v>01 - 29 MARCH</v>
          </cell>
          <cell r="O144" t="str">
            <v>(NB20260315)_Mar_Sellout Support_RF _Asus_Select</v>
          </cell>
        </row>
        <row r="145">
          <cell r="C145" t="str">
            <v>RF K513EA-L302WS</v>
          </cell>
          <cell r="E145" t="str">
            <v>K513EA-L302WS</v>
          </cell>
          <cell r="F145" t="str">
            <v>90NB0SG1-M43680</v>
          </cell>
          <cell r="G145" t="str">
            <v>i3-1115G4//8G/256G PCIe SSD/INDIE BLACK/15.6"FHD OLED/1Y international warranty + McAfee/Win 11 + Office H&amp;S/Backlit KB/Finger Print</v>
          </cell>
          <cell r="H145">
            <v>24493</v>
          </cell>
          <cell r="I145">
            <v>19823</v>
          </cell>
          <cell r="J145">
            <v>22043</v>
          </cell>
          <cell r="K145">
            <v>17840</v>
          </cell>
          <cell r="L145">
            <v>2450</v>
          </cell>
          <cell r="M145">
            <v>1983</v>
          </cell>
          <cell r="N145" t="str">
            <v>01 - 29 MARCH</v>
          </cell>
          <cell r="O145" t="str">
            <v>(NB20260315)_Mar_Sellout Support_RF _Asus_Select</v>
          </cell>
        </row>
        <row r="146">
          <cell r="C146" t="str">
            <v>RF K513EA-L303WS</v>
          </cell>
          <cell r="E146" t="str">
            <v>K513EA-L303WS</v>
          </cell>
          <cell r="F146" t="str">
            <v>90NB0SG2-M43690</v>
          </cell>
          <cell r="G146" t="str">
            <v>i3-1115G4//8G/256G PCIe SSD/TRANSPARENT SILVER/15.6"FHD OLED/1Y international warranty + McAfee/Win 11 + Office H&amp;S/Backlit KB/Finger Print</v>
          </cell>
          <cell r="H146">
            <v>24493</v>
          </cell>
          <cell r="I146">
            <v>19823</v>
          </cell>
          <cell r="J146">
            <v>22043</v>
          </cell>
          <cell r="K146">
            <v>17840</v>
          </cell>
          <cell r="L146">
            <v>2450</v>
          </cell>
          <cell r="M146">
            <v>1983</v>
          </cell>
          <cell r="N146" t="str">
            <v>01 - 29 MARCH</v>
          </cell>
          <cell r="O146" t="str">
            <v>(NB20260315)_Mar_Sellout Support_RF _Asus_Select</v>
          </cell>
        </row>
        <row r="147">
          <cell r="C147" t="str">
            <v>RF X515EA-EJ317TS</v>
          </cell>
          <cell r="E147" t="str">
            <v>X515EA-EJ317TS</v>
          </cell>
          <cell r="F147" t="str">
            <v>90NB0TY2-M04370</v>
          </cell>
          <cell r="G147" t="str">
            <v>i5-1135G7//8G/512G PCIe SSD/TRANSPARENT SILVER/15.6"FHD/1Y international warranty + McAfee/Office H&amp;S/Finger Print/</v>
          </cell>
          <cell r="H147">
            <v>24493</v>
          </cell>
          <cell r="I147">
            <v>19823</v>
          </cell>
          <cell r="J147">
            <v>22043</v>
          </cell>
          <cell r="K147">
            <v>17840</v>
          </cell>
          <cell r="L147">
            <v>2450</v>
          </cell>
          <cell r="M147">
            <v>1983</v>
          </cell>
          <cell r="N147" t="str">
            <v>01 - 29 MARCH</v>
          </cell>
          <cell r="O147" t="str">
            <v>(NB20260315)_Mar_Sellout Support_RF _Asus_Select</v>
          </cell>
        </row>
        <row r="148">
          <cell r="C148" t="str">
            <v>RF X515EA-EZ311WS</v>
          </cell>
          <cell r="E148" t="str">
            <v>X515EA-EZ311WS</v>
          </cell>
          <cell r="F148" t="str">
            <v>90NB0TY1-M01N20</v>
          </cell>
          <cell r="G148" t="str">
            <v>i3 1115G4 /  / 8GB DDR4 / 512GB SSD / 15.6-inch FHD IPS Touch /  / FingerPrint /  / Slate Grey / Win 11 / MS Office</v>
          </cell>
          <cell r="H148">
            <v>24493</v>
          </cell>
          <cell r="I148">
            <v>19823</v>
          </cell>
          <cell r="J148">
            <v>22043</v>
          </cell>
          <cell r="K148">
            <v>17840</v>
          </cell>
          <cell r="L148">
            <v>2450</v>
          </cell>
          <cell r="M148">
            <v>1983</v>
          </cell>
          <cell r="N148" t="str">
            <v>01 - 29 MARCH</v>
          </cell>
          <cell r="O148" t="str">
            <v>(NB20260315)_Mar_Sellout Support_RF _Asus_Select</v>
          </cell>
        </row>
        <row r="149">
          <cell r="C149" t="str">
            <v>RF M515DA-BQ722WS</v>
          </cell>
          <cell r="E149" t="str">
            <v>M515DA-BQ722WS</v>
          </cell>
          <cell r="F149" t="str">
            <v>90NB0T42-M00BB0</v>
          </cell>
          <cell r="G149" t="str">
            <v>R7-3700U//16G/512G PCIe SSD/TRANSPARENT SILVER/15.6"FHD vIPS/1Y international warranty + McAfee/Win 11 + Office H&amp;S/Finger Print/</v>
          </cell>
          <cell r="H149">
            <v>25194</v>
          </cell>
          <cell r="I149">
            <v>20390</v>
          </cell>
          <cell r="J149">
            <v>22254</v>
          </cell>
          <cell r="K149">
            <v>18011</v>
          </cell>
          <cell r="L149">
            <v>2940</v>
          </cell>
          <cell r="M149">
            <v>2379</v>
          </cell>
          <cell r="N149" t="str">
            <v>01 - 29 MARCH</v>
          </cell>
          <cell r="O149" t="str">
            <v>(NB20260315)_Mar_Sellout Support_RF _Asus_Select</v>
          </cell>
        </row>
        <row r="150">
          <cell r="C150" t="str">
            <v>RF X412DA-EK501T</v>
          </cell>
          <cell r="E150" t="str">
            <v>X412DA-EK501T</v>
          </cell>
          <cell r="F150" t="str">
            <v>90NB0M51-M03940</v>
          </cell>
          <cell r="G150" t="str">
            <v>R5-3500U/UMA/8G/512G PCIe SSD/TRANSPARENT SILVER/14.0"FHD/1Y</v>
          </cell>
          <cell r="H150">
            <v>25794</v>
          </cell>
          <cell r="I150">
            <v>20876</v>
          </cell>
          <cell r="J150">
            <v>22294</v>
          </cell>
          <cell r="K150">
            <v>18043</v>
          </cell>
          <cell r="L150">
            <v>3500</v>
          </cell>
          <cell r="M150">
            <v>2833</v>
          </cell>
          <cell r="N150" t="str">
            <v>01 - 29 MARCH</v>
          </cell>
          <cell r="O150" t="str">
            <v>(NB20260315)_Mar_Sellout Support_RF _Asus_Select</v>
          </cell>
        </row>
        <row r="151">
          <cell r="C151" t="str">
            <v>RF TP470EA-EC301TS</v>
          </cell>
          <cell r="E151" t="str">
            <v>TP470EA-EC301TS</v>
          </cell>
          <cell r="F151" t="str">
            <v>90NB0S02-M01970</v>
          </cell>
          <cell r="G151" t="str">
            <v>i3-1115G4//8G/256 PCIe SSD/TRANSPARENT SILVER/14.0"FHD/1Y international warranty + MacFee/Office H&amp;S/Stylus/Finger Print</v>
          </cell>
          <cell r="H151">
            <v>25193</v>
          </cell>
          <cell r="I151">
            <v>20389</v>
          </cell>
          <cell r="J151">
            <v>22673</v>
          </cell>
          <cell r="K151">
            <v>18350</v>
          </cell>
          <cell r="L151">
            <v>2520</v>
          </cell>
          <cell r="M151">
            <v>2039</v>
          </cell>
          <cell r="N151" t="str">
            <v>01 - 29 MARCH</v>
          </cell>
          <cell r="O151" t="str">
            <v>(NB20260315)_Mar_Sellout Support_RF _Asus_Select</v>
          </cell>
        </row>
        <row r="152">
          <cell r="C152" t="str">
            <v>RF TP470EA-EC302WS</v>
          </cell>
          <cell r="E152" t="str">
            <v>TP470EA-EC302WS</v>
          </cell>
          <cell r="F152" t="str">
            <v>90NB0S01-M00BR0</v>
          </cell>
          <cell r="G152" t="str">
            <v>i3 1115G4 /  / 8GB / 256GB SSD / Indie Black / 14.0-inch Touch / FHD / 1Y International Warranty / McAfee / Win 11 / Office H&amp;S 2021 / FingerPrint / Backlit KB /  / Stylus / Stylus holder</v>
          </cell>
          <cell r="H152">
            <v>25193</v>
          </cell>
          <cell r="I152">
            <v>20389</v>
          </cell>
          <cell r="J152">
            <v>22673</v>
          </cell>
          <cell r="K152">
            <v>18350</v>
          </cell>
          <cell r="L152">
            <v>2520</v>
          </cell>
          <cell r="M152">
            <v>2039</v>
          </cell>
          <cell r="N152" t="str">
            <v>01 - 29 MARCH</v>
          </cell>
          <cell r="O152" t="str">
            <v>(NB20260315)_Mar_Sellout Support_RF _Asus_Select</v>
          </cell>
        </row>
        <row r="153">
          <cell r="C153" t="str">
            <v>RF X1502ZA-EJ331WS</v>
          </cell>
          <cell r="E153" t="str">
            <v>X1502ZA-EJ331WS</v>
          </cell>
          <cell r="F153" t="str">
            <v>90NB0VX2-M01960</v>
          </cell>
          <cell r="G153" t="str">
            <v xml:space="preserve">Intel® Core™ i3-1220P 8GB DDR4  / 512GB PCIe® 3.0 SSD / 15.6-inch / FHD (1920 x 1080) 16:9  /  / Icelight Silver / Backlit KB / Win 11 Home / MS Office / </v>
          </cell>
          <cell r="H153">
            <v>25193</v>
          </cell>
          <cell r="I153">
            <v>20389</v>
          </cell>
          <cell r="J153">
            <v>22673</v>
          </cell>
          <cell r="K153">
            <v>18350</v>
          </cell>
          <cell r="L153">
            <v>2520</v>
          </cell>
          <cell r="M153">
            <v>2039</v>
          </cell>
          <cell r="N153" t="str">
            <v>01 - 29 MARCH</v>
          </cell>
          <cell r="O153" t="str">
            <v>(NB20260315)_Mar_Sellout Support_RF _Asus_Select</v>
          </cell>
        </row>
        <row r="154">
          <cell r="C154" t="str">
            <v>RF X1502ZA-EZ311WS</v>
          </cell>
          <cell r="E154" t="str">
            <v>X1502ZA-EZ311WS</v>
          </cell>
          <cell r="F154" t="str">
            <v>90NB0VX1-M006K0</v>
          </cell>
          <cell r="G154" t="str">
            <v>INTEL I3-1220P / 512G PCIEG3 SSD / DDR4 8G RAM / 15.6 FHD TOUCH ,250NITS,NTSC:45%-NB / QUIET BLUE /  / W/FINGERPRINT / NO /  / WIN11 64B.ASIA-SEA-IN(HOME&amp;STUDENTS_MCAFEE 1Y) / WIN11 / HOME&amp;STUDENT_IN / MCAFEE_1Y</v>
          </cell>
          <cell r="H154">
            <v>25193</v>
          </cell>
          <cell r="I154">
            <v>20389</v>
          </cell>
          <cell r="J154">
            <v>22673</v>
          </cell>
          <cell r="K154">
            <v>18350</v>
          </cell>
          <cell r="L154">
            <v>2520</v>
          </cell>
          <cell r="M154">
            <v>2039</v>
          </cell>
          <cell r="N154" t="str">
            <v>01 - 29 MARCH</v>
          </cell>
          <cell r="O154" t="str">
            <v>(NB20260315)_Mar_Sellout Support_RF _Asus_Select</v>
          </cell>
        </row>
        <row r="155">
          <cell r="C155" t="str">
            <v>RF X415JA-EK522WS</v>
          </cell>
          <cell r="E155" t="str">
            <v>X415JA-EK522WS</v>
          </cell>
          <cell r="F155" t="str">
            <v>90NB0ST2-M00Y10</v>
          </cell>
          <cell r="G155" t="str">
            <v>Intel® Core™ i5-1035G1  / Integrated Graphics /  / Slate Grey / 14.0-inch / FHD (1920 x 1080) 16:9 aspect ratio / 8GB DDR4 / 512GB M.2 NVMe™ PCIe® 3.0 SSD
HDD housing for storage expansion / FingerPrint / Chiclet Keyboard /  / Windows 11 Home / Office Home and Student 2021 included</v>
          </cell>
          <cell r="H155">
            <v>25794</v>
          </cell>
          <cell r="I155">
            <v>20876</v>
          </cell>
          <cell r="J155">
            <v>22784</v>
          </cell>
          <cell r="K155">
            <v>18440</v>
          </cell>
          <cell r="L155">
            <v>3010</v>
          </cell>
          <cell r="M155">
            <v>2436</v>
          </cell>
          <cell r="N155" t="str">
            <v>01 - 29 MARCH</v>
          </cell>
          <cell r="O155" t="str">
            <v>(NB20260315)_Mar_Sellout Support_RF _Asus_Select</v>
          </cell>
        </row>
        <row r="156">
          <cell r="C156" t="str">
            <v>RF X512DA-EJ501T</v>
          </cell>
          <cell r="E156" t="str">
            <v>X512DA-EJ501T</v>
          </cell>
          <cell r="F156" t="str">
            <v>90NB0LZ2-M11440</v>
          </cell>
          <cell r="G156" t="str">
            <v>R5-3500U/UMA/8G/512G PCIe SSD/TRANSPARENT SILVER/15.6"FHD/1Y</v>
          </cell>
          <cell r="H156">
            <v>26394</v>
          </cell>
          <cell r="I156">
            <v>21361</v>
          </cell>
          <cell r="J156">
            <v>22894</v>
          </cell>
          <cell r="K156">
            <v>18529</v>
          </cell>
          <cell r="L156">
            <v>3500</v>
          </cell>
          <cell r="M156">
            <v>2832</v>
          </cell>
          <cell r="N156" t="str">
            <v>01 - 29 MARCH</v>
          </cell>
          <cell r="O156" t="str">
            <v>(NB20260315)_Mar_Sellout Support_RF _Asus_Select</v>
          </cell>
        </row>
        <row r="157">
          <cell r="C157" t="str">
            <v>RF M515DA-BQ511T</v>
          </cell>
          <cell r="E157" t="str">
            <v>M515DA-BQ511T</v>
          </cell>
          <cell r="F157" t="str">
            <v>90NB0T41-M08860</v>
          </cell>
          <cell r="G157" t="str">
            <v>R5-3500U//8G/512G PCIe SSD/SLATE GREY/15.6"FHD/1Y international warranty + McAfee//Finger Print/</v>
          </cell>
          <cell r="H157">
            <v>25794</v>
          </cell>
          <cell r="I157">
            <v>20876</v>
          </cell>
          <cell r="J157">
            <v>22994</v>
          </cell>
          <cell r="K157">
            <v>18610</v>
          </cell>
          <cell r="L157">
            <v>2800</v>
          </cell>
          <cell r="M157">
            <v>2266</v>
          </cell>
          <cell r="N157" t="str">
            <v>01 - 29 MARCH</v>
          </cell>
          <cell r="O157" t="str">
            <v>(NB20260315)_Mar_Sellout Support_RF _Asus_Select</v>
          </cell>
        </row>
        <row r="158">
          <cell r="C158" t="str">
            <v>RF X412DA-EK502T</v>
          </cell>
          <cell r="E158" t="str">
            <v>X412DA-EK502T</v>
          </cell>
          <cell r="F158" t="str">
            <v>90NB0M52-M04260</v>
          </cell>
          <cell r="G158" t="str">
            <v>R5-3500U/UMA/8G/512G PCIe SSD/SLATE GREY/14.0"FHD/1Y</v>
          </cell>
          <cell r="H158">
            <v>25794</v>
          </cell>
          <cell r="I158">
            <v>20876</v>
          </cell>
          <cell r="J158">
            <v>22994</v>
          </cell>
          <cell r="K158">
            <v>18610</v>
          </cell>
          <cell r="L158">
            <v>2800</v>
          </cell>
          <cell r="M158">
            <v>2266</v>
          </cell>
          <cell r="N158" t="str">
            <v>01 - 29 MARCH</v>
          </cell>
          <cell r="O158" t="str">
            <v>(NB20260315)_Mar_Sellout Support_RF _Asus_Select</v>
          </cell>
        </row>
        <row r="159">
          <cell r="C159" t="str">
            <v>RF X412DA-EK503T</v>
          </cell>
          <cell r="E159" t="str">
            <v>X412DA-EK503T</v>
          </cell>
          <cell r="F159" t="str">
            <v>90NB0M53-M04270</v>
          </cell>
          <cell r="G159" t="str">
            <v>R5-3500U/UMA/8G/512G PCIe SSD/PEACOCK BLUE/14.0"FHD/1Y</v>
          </cell>
          <cell r="H159">
            <v>25794</v>
          </cell>
          <cell r="I159">
            <v>20876</v>
          </cell>
          <cell r="J159">
            <v>22994</v>
          </cell>
          <cell r="K159">
            <v>18610</v>
          </cell>
          <cell r="L159">
            <v>2800</v>
          </cell>
          <cell r="M159">
            <v>2266</v>
          </cell>
          <cell r="N159" t="str">
            <v>01 - 29 MARCH</v>
          </cell>
          <cell r="O159" t="str">
            <v>(NB20260315)_Mar_Sellout Support_RF _Asus_Select</v>
          </cell>
        </row>
        <row r="160">
          <cell r="C160" t="str">
            <v>RF X512DA-EJ502T</v>
          </cell>
          <cell r="E160" t="str">
            <v>X512DA-EJ502T</v>
          </cell>
          <cell r="F160" t="str">
            <v>90NB0LZ3-M11410</v>
          </cell>
          <cell r="G160" t="str">
            <v>R5-3500U/UMA/8G/512G PCIe SSD/SLATE GREY/15.6"FHD/1Y</v>
          </cell>
          <cell r="H160">
            <v>26394</v>
          </cell>
          <cell r="I160">
            <v>21361</v>
          </cell>
          <cell r="J160">
            <v>23594</v>
          </cell>
          <cell r="K160">
            <v>19095</v>
          </cell>
          <cell r="L160">
            <v>2800</v>
          </cell>
          <cell r="M160">
            <v>2266</v>
          </cell>
          <cell r="N160" t="str">
            <v>01 - 29 MARCH</v>
          </cell>
          <cell r="O160" t="str">
            <v>(NB20260315)_Mar_Sellout Support_RF _Asus_Select</v>
          </cell>
        </row>
        <row r="161">
          <cell r="C161" t="str">
            <v>RF UX325JA-EG135TS</v>
          </cell>
          <cell r="E161" t="str">
            <v>UX325JA-EG135TS</v>
          </cell>
          <cell r="F161" t="str">
            <v>90NB0QY2-M02360</v>
          </cell>
          <cell r="G161" t="str">
            <v>i5-1035G1//8G/512G PCIe SSD/LILAC MIST/13.3"FHD IPS/1Y international warranty//NUMPAD/Zenbook Sleeve/USB to LAudio Jack Dongle</v>
          </cell>
          <cell r="H161">
            <v>27495</v>
          </cell>
          <cell r="I161">
            <v>22252</v>
          </cell>
          <cell r="J161">
            <v>23645</v>
          </cell>
          <cell r="K161">
            <v>19136</v>
          </cell>
          <cell r="L161">
            <v>3850</v>
          </cell>
          <cell r="M161">
            <v>3116</v>
          </cell>
          <cell r="N161" t="str">
            <v>01 - 29 MARCH</v>
          </cell>
          <cell r="O161" t="str">
            <v>(NB20260315)_Mar_Sellout Support_RF _Asus_Select</v>
          </cell>
        </row>
        <row r="162">
          <cell r="C162" t="str">
            <v>RF UX325JA-EG135TS</v>
          </cell>
          <cell r="E162" t="str">
            <v>UX325JA-EG135TS</v>
          </cell>
          <cell r="F162" t="str">
            <v>90NB0MP8-M08520</v>
          </cell>
          <cell r="G162" t="str">
            <v>i5-1035G1//8G/512G PCIe SSD/LILAC MIST/13.3"FHD IPS/1Y international warranty//NUMPAD/Zenbook Sleeve/USB to LAudio Jack Dongle</v>
          </cell>
          <cell r="H162">
            <v>27495</v>
          </cell>
          <cell r="I162">
            <v>22252</v>
          </cell>
          <cell r="J162">
            <v>23645</v>
          </cell>
          <cell r="K162">
            <v>19136</v>
          </cell>
          <cell r="L162">
            <v>3850</v>
          </cell>
          <cell r="M162">
            <v>3116</v>
          </cell>
          <cell r="N162" t="str">
            <v>01 - 29 MARCH</v>
          </cell>
          <cell r="O162" t="str">
            <v>(NB20260315)_Mar_Sellout Support_RF _Asus_Select</v>
          </cell>
        </row>
        <row r="163">
          <cell r="C163" t="str">
            <v>RF UX333FA-A5822TS</v>
          </cell>
          <cell r="E163" t="str">
            <v>UX333FA-A5822TS</v>
          </cell>
          <cell r="F163" t="str">
            <v>90NB0MX7-M02150</v>
          </cell>
          <cell r="G163" t="str">
            <v>i5-10210U/UMA/8G/512G PCIe SSD/ICICLE SILVER/13.3"FHD IPS/NUMPAD/1Y/Office H&amp;S</v>
          </cell>
          <cell r="H163">
            <v>27495</v>
          </cell>
          <cell r="I163">
            <v>22252</v>
          </cell>
          <cell r="J163">
            <v>23645</v>
          </cell>
          <cell r="K163">
            <v>19136</v>
          </cell>
          <cell r="L163">
            <v>3850</v>
          </cell>
          <cell r="M163">
            <v>3116</v>
          </cell>
          <cell r="N163" t="str">
            <v>01 - 29 MARCH</v>
          </cell>
          <cell r="O163" t="str">
            <v>(NB20260315)_Mar_Sellout Support_RF _Asus_Select</v>
          </cell>
        </row>
        <row r="164">
          <cell r="C164" t="str">
            <v>RF X515JF-BQ522TS</v>
          </cell>
          <cell r="E164" t="str">
            <v>X515JF-BQ522TS</v>
          </cell>
          <cell r="F164" t="str">
            <v>90NB0SW2-M01950</v>
          </cell>
          <cell r="G164" t="str">
            <v>i5-1035G1/MX130/8G/512G PCIe SSD/TRANSPARENT SILVER/15.6"FHD/1Y international warranty/Office H&amp;S/Finger Print/</v>
          </cell>
          <cell r="H164">
            <v>25794</v>
          </cell>
          <cell r="I164">
            <v>20876</v>
          </cell>
          <cell r="J164">
            <v>23694</v>
          </cell>
          <cell r="K164">
            <v>19176</v>
          </cell>
          <cell r="L164">
            <v>2100</v>
          </cell>
          <cell r="M164">
            <v>1700</v>
          </cell>
          <cell r="N164" t="str">
            <v>01 - 29 MARCH</v>
          </cell>
          <cell r="O164" t="str">
            <v>(NB20260315)_Mar_Sellout Support_RF _Asus_Select</v>
          </cell>
        </row>
        <row r="165">
          <cell r="C165" t="str">
            <v>RF KM513UA-L511WS</v>
          </cell>
          <cell r="E165" t="str">
            <v>KM513UA-L511WS</v>
          </cell>
          <cell r="F165" t="str">
            <v>90NB0TP3-M07530</v>
          </cell>
          <cell r="G165" t="str">
            <v xml:space="preserve">R5 5500U /  / 16GB / 512GB SSD / Hearty Gold / 15.6-inch / FHD OLED  / 1Y International Warranty / McAfee / Win 11 / Office H&amp;S 2021 / FingerPrint / Backlit KB /  / </v>
          </cell>
          <cell r="H165">
            <v>30793</v>
          </cell>
          <cell r="I165">
            <v>24921</v>
          </cell>
          <cell r="J165">
            <v>23793</v>
          </cell>
          <cell r="K165">
            <v>19256</v>
          </cell>
          <cell r="L165">
            <v>7000</v>
          </cell>
          <cell r="M165">
            <v>5665</v>
          </cell>
          <cell r="N165" t="str">
            <v>01 - 29 MARCH</v>
          </cell>
          <cell r="O165" t="str">
            <v>(NB20260315)_Mar_Sellout Support_RF _Asus_Select</v>
          </cell>
        </row>
        <row r="166">
          <cell r="C166" t="str">
            <v>RF X509JB-EJ592T</v>
          </cell>
          <cell r="E166" t="str">
            <v>X509JB-EJ592T</v>
          </cell>
          <cell r="F166" t="str">
            <v>90NB0QD2-M01510</v>
          </cell>
          <cell r="G166" t="str">
            <v>i5-1035G1/MX110/8G/512G PCIe SSD/SLATE GREY/15.6"FHD/1Y international warranty//Finger Print</v>
          </cell>
          <cell r="H166">
            <v>26994</v>
          </cell>
          <cell r="I166">
            <v>21847</v>
          </cell>
          <cell r="J166">
            <v>23844</v>
          </cell>
          <cell r="K166">
            <v>19297</v>
          </cell>
          <cell r="L166">
            <v>3150</v>
          </cell>
          <cell r="M166">
            <v>2550</v>
          </cell>
          <cell r="N166" t="str">
            <v>01 - 29 MARCH</v>
          </cell>
          <cell r="O166" t="str">
            <v>(NB20260315)_Mar_Sellout Support_RF _Asus_Select</v>
          </cell>
        </row>
        <row r="167">
          <cell r="C167" t="str">
            <v>RF X515JA-EJ701WS</v>
          </cell>
          <cell r="E167" t="str">
            <v>X515JA-EJ701WS</v>
          </cell>
          <cell r="F167" t="str">
            <v>90NB0SR2-M005R0</v>
          </cell>
          <cell r="G167" t="str">
            <v>i7-1065G7//16G/512 PCIe SSD/TRANSPARENT SILVER/15.6" FHD/1Y international warranty + McAfee/Win 11 + Office H&amp;S/Finger Print/</v>
          </cell>
          <cell r="H167">
            <v>26994</v>
          </cell>
          <cell r="I167">
            <v>21847</v>
          </cell>
          <cell r="J167">
            <v>23844</v>
          </cell>
          <cell r="K167">
            <v>19297</v>
          </cell>
          <cell r="L167">
            <v>3150</v>
          </cell>
          <cell r="M167">
            <v>2550</v>
          </cell>
          <cell r="N167" t="str">
            <v>01 - 29 MARCH</v>
          </cell>
          <cell r="O167" t="str">
            <v>(NB20260315)_Mar_Sellout Support_RF _Asus_Select</v>
          </cell>
        </row>
        <row r="168">
          <cell r="C168" t="str">
            <v>RF K513EA-L311WS</v>
          </cell>
          <cell r="E168" t="str">
            <v>K513EA-L311WS</v>
          </cell>
          <cell r="F168" t="str">
            <v>90NB0SG3-M00BL0</v>
          </cell>
          <cell r="G168" t="str">
            <v>i3-1115G4//8G/512G PCIe SSD/HEARTY GOLD/15.6"FHD OLED/1Y international warranty + McAfee/Win 11 + Office H&amp;S/Backlit KB/Finger Print</v>
          </cell>
          <cell r="H168">
            <v>26593</v>
          </cell>
          <cell r="I168">
            <v>21522</v>
          </cell>
          <cell r="J168">
            <v>23933</v>
          </cell>
          <cell r="K168">
            <v>19370</v>
          </cell>
          <cell r="L168">
            <v>2660</v>
          </cell>
          <cell r="M168">
            <v>2152</v>
          </cell>
          <cell r="N168" t="str">
            <v>01 - 29 MARCH</v>
          </cell>
          <cell r="O168" t="str">
            <v>(NB20260315)_Mar_Sellout Support_RF _Asus_Select</v>
          </cell>
        </row>
        <row r="169">
          <cell r="C169" t="str">
            <v>RF K513EA-L312WS</v>
          </cell>
          <cell r="E169" t="str">
            <v>K513EA-L312WS</v>
          </cell>
          <cell r="F169" t="str">
            <v>90NB0SG1-M00BM0</v>
          </cell>
          <cell r="G169" t="str">
            <v>i3-1115G4//8G/512G PCIe SSD/INDIE BLACK/15.6"FHD OLED/1Y international warranty + McAfee/Win 11 + Office H&amp;S/Backlit KB/Finger Print</v>
          </cell>
          <cell r="H169">
            <v>26593</v>
          </cell>
          <cell r="I169">
            <v>21522</v>
          </cell>
          <cell r="J169">
            <v>23933</v>
          </cell>
          <cell r="K169">
            <v>19370</v>
          </cell>
          <cell r="L169">
            <v>2660</v>
          </cell>
          <cell r="M169">
            <v>2152</v>
          </cell>
          <cell r="N169" t="str">
            <v>01 - 29 MARCH</v>
          </cell>
          <cell r="O169" t="str">
            <v>(NB20260315)_Mar_Sellout Support_RF _Asus_Select</v>
          </cell>
        </row>
        <row r="170">
          <cell r="C170" t="str">
            <v>RF K513EA-L313WS</v>
          </cell>
          <cell r="E170" t="str">
            <v>K513EA-L313WS</v>
          </cell>
          <cell r="F170" t="str">
            <v>90NB0SG2-M00BN0</v>
          </cell>
          <cell r="G170" t="str">
            <v>i3-1115G4//8G/512G PCIe SSD/TRANSPARENT SILVER/15.6"FHD OLED/1Y international warranty + McAfee/Win 11 + Office H&amp;S/Backlit KB/Finger Print</v>
          </cell>
          <cell r="H170">
            <v>26593</v>
          </cell>
          <cell r="I170">
            <v>21522</v>
          </cell>
          <cell r="J170">
            <v>23933</v>
          </cell>
          <cell r="K170">
            <v>19370</v>
          </cell>
          <cell r="L170">
            <v>2660</v>
          </cell>
          <cell r="M170">
            <v>2152</v>
          </cell>
          <cell r="N170" t="str">
            <v>01 - 29 MARCH</v>
          </cell>
          <cell r="O170" t="str">
            <v>(NB20260315)_Mar_Sellout Support_RF _Asus_Select</v>
          </cell>
        </row>
        <row r="171">
          <cell r="C171" t="str">
            <v>RF K513EA-L322WS</v>
          </cell>
          <cell r="E171" t="str">
            <v>K513EA-L322WS</v>
          </cell>
          <cell r="F171" t="str">
            <v>90NB0SG1-M016F0</v>
          </cell>
          <cell r="G171" t="str">
            <v>i3-1115G4//8G/1TB HDD + 256G PCIe SSD/INDIE BLACK/15.6"FHD OLED/1Y international warranty + McAfee/Win 11 + Office H&amp;S/Backlit KB/Finger Print</v>
          </cell>
          <cell r="H171">
            <v>26593</v>
          </cell>
          <cell r="I171">
            <v>21522</v>
          </cell>
          <cell r="J171">
            <v>23933</v>
          </cell>
          <cell r="K171">
            <v>19370</v>
          </cell>
          <cell r="L171">
            <v>2660</v>
          </cell>
          <cell r="M171">
            <v>2152</v>
          </cell>
          <cell r="N171" t="str">
            <v>01 - 29 MARCH</v>
          </cell>
          <cell r="O171" t="str">
            <v>(NB20260315)_Mar_Sellout Support_RF _Asus_Select</v>
          </cell>
        </row>
        <row r="172">
          <cell r="C172" t="str">
            <v>RF X1500EA-EJ522WS</v>
          </cell>
          <cell r="E172" t="str">
            <v>X1500EA-EJ522WS</v>
          </cell>
          <cell r="F172" t="str">
            <v>90NB0TY5-M01FX0</v>
          </cell>
          <cell r="G172" t="str">
            <v xml:space="preserve">Intel® i5-1135G7  / 8GB DDR4 /  / 512GB PCIe® 3.0 SSD / 15.6-inch / FHD (1920 x 1080) 16:9 aspect ratio /  / Intel Iris Xᵉ Graphics /  / Indie Black /  /  / Chiclet Keyboard   / Windows 11 Home / Office Home and Student 2021 </v>
          </cell>
          <cell r="H172">
            <v>27293</v>
          </cell>
          <cell r="I172">
            <v>22089</v>
          </cell>
          <cell r="J172">
            <v>24563</v>
          </cell>
          <cell r="K172">
            <v>19879</v>
          </cell>
          <cell r="L172">
            <v>2730</v>
          </cell>
          <cell r="M172">
            <v>2210</v>
          </cell>
          <cell r="N172" t="str">
            <v>01 - 29 MARCH</v>
          </cell>
          <cell r="O172" t="str">
            <v>(NB20260315)_Mar_Sellout Support_RF _Asus_Select</v>
          </cell>
        </row>
        <row r="173">
          <cell r="C173" t="str">
            <v>RF X515EA-EJ522WS</v>
          </cell>
          <cell r="E173" t="str">
            <v>X515EA-EJ522WS</v>
          </cell>
          <cell r="F173" t="str">
            <v>90NB0TY2-M00JP0</v>
          </cell>
          <cell r="G173" t="str">
            <v>i5-1135G7//8G/512G PCIe SSD/TRANSPARENT SILVER/15.6" FHD/1Y international warranty + McAfee/Win 11 + Office H&amp;S/Finger Print/</v>
          </cell>
          <cell r="H173">
            <v>27293</v>
          </cell>
          <cell r="I173">
            <v>22089</v>
          </cell>
          <cell r="J173">
            <v>24563</v>
          </cell>
          <cell r="K173">
            <v>19879</v>
          </cell>
          <cell r="L173">
            <v>2730</v>
          </cell>
          <cell r="M173">
            <v>2210</v>
          </cell>
          <cell r="N173" t="str">
            <v>01 - 29 MARCH</v>
          </cell>
          <cell r="O173" t="str">
            <v>(NB20260315)_Mar_Sellout Support_RF _Asus_Select</v>
          </cell>
        </row>
        <row r="174">
          <cell r="C174" t="str">
            <v>RF TP470EA-EC511WS</v>
          </cell>
          <cell r="E174" t="str">
            <v>TP470EA-EC511WS</v>
          </cell>
          <cell r="F174" t="str">
            <v>90NB0S02-M00AF0</v>
          </cell>
          <cell r="G174" t="str">
            <v>i5-1135G7//8G/512G PCIe SSD/TRANSPARENT SILVER/14.0" FHD IPS TOUCH/1Y international warranty + McAfee/Win 11 + Office H&amp;S/Stylus/Finger Print</v>
          </cell>
          <cell r="H174">
            <v>28194</v>
          </cell>
          <cell r="I174">
            <v>22818</v>
          </cell>
          <cell r="J174">
            <v>24904</v>
          </cell>
          <cell r="K174">
            <v>20155</v>
          </cell>
          <cell r="L174">
            <v>3290</v>
          </cell>
          <cell r="M174">
            <v>2663</v>
          </cell>
          <cell r="N174" t="str">
            <v>01 - 29 MARCH</v>
          </cell>
          <cell r="O174" t="str">
            <v>(NB20260315)_Mar_Sellout Support_RF _Asus_Select</v>
          </cell>
        </row>
        <row r="175">
          <cell r="C175" t="str">
            <v>RF E1404GA-NK321WS</v>
          </cell>
          <cell r="E175" t="str">
            <v>E1404GA-NK321WS</v>
          </cell>
          <cell r="F175" t="str">
            <v>90NB0ZW1-M000J0</v>
          </cell>
          <cell r="G175" t="str">
            <v xml:space="preserve">Intel® Core™ i3-N305 /  /  / 8GB DDR4 / 512GB PCIe® 3.0 SSD / 14.0-inch / FHD (1920 x 1080) 16:9  /  / Cool Silver / NumberPad / Win 11 Home / MS Office / </v>
          </cell>
          <cell r="H175">
            <v>27992</v>
          </cell>
          <cell r="I175">
            <v>22655</v>
          </cell>
          <cell r="J175">
            <v>25192</v>
          </cell>
          <cell r="K175">
            <v>20388</v>
          </cell>
          <cell r="L175">
            <v>2800</v>
          </cell>
          <cell r="M175">
            <v>2267</v>
          </cell>
          <cell r="N175" t="str">
            <v>01 - 29 MARCH</v>
          </cell>
          <cell r="O175" t="str">
            <v>(NB20260315)_Mar_Sellout Support_RF _Asus_Select</v>
          </cell>
        </row>
        <row r="176">
          <cell r="C176" t="str">
            <v>RF E1404GA-NK322WS</v>
          </cell>
          <cell r="E176" t="str">
            <v>E1404GA-NK322WS</v>
          </cell>
          <cell r="F176" t="str">
            <v>90NB0ZW2-M000K0</v>
          </cell>
          <cell r="G176" t="str">
            <v xml:space="preserve">Intel® Core™ i3-N305 /  /  / 8GB DDR4 / 512GB PCIe® 3.0 SSD / 14.0-inch / FHD (1920 x 1080) 16:9  /  / Mixed Black / NumberPad / Win 11 Home / MS Office / </v>
          </cell>
          <cell r="H176">
            <v>27992</v>
          </cell>
          <cell r="I176">
            <v>22655</v>
          </cell>
          <cell r="J176">
            <v>25192</v>
          </cell>
          <cell r="K176">
            <v>20388</v>
          </cell>
          <cell r="L176">
            <v>2800</v>
          </cell>
          <cell r="M176">
            <v>2267</v>
          </cell>
          <cell r="N176" t="str">
            <v>01 - 29 MARCH</v>
          </cell>
          <cell r="O176" t="str">
            <v>(NB20260315)_Mar_Sellout Support_RF _Asus_Select</v>
          </cell>
        </row>
        <row r="177">
          <cell r="C177" t="str">
            <v>RF E1404GA-NK323WS</v>
          </cell>
          <cell r="E177" t="str">
            <v>E1404GA-NK323WS</v>
          </cell>
          <cell r="F177" t="str">
            <v>90NB0ZW3-M000L0</v>
          </cell>
          <cell r="G177" t="str">
            <v xml:space="preserve">Intel® Core™ i3-N305 /  /  / 8GB DDR4 / 512GB PCIe® 3.0 SSD / 14.0-inch / FHD (1920 x 1080) 16:9  /  / Grey Green / NumberPad / Win 11 Home / MS Office / </v>
          </cell>
          <cell r="H177">
            <v>27992</v>
          </cell>
          <cell r="I177">
            <v>22655</v>
          </cell>
          <cell r="J177">
            <v>25192</v>
          </cell>
          <cell r="K177">
            <v>20388</v>
          </cell>
          <cell r="L177">
            <v>2800</v>
          </cell>
          <cell r="M177">
            <v>2267</v>
          </cell>
          <cell r="N177" t="str">
            <v>01 - 29 MARCH</v>
          </cell>
          <cell r="O177" t="str">
            <v>(NB20260315)_Mar_Sellout Support_RF _Asus_Select</v>
          </cell>
        </row>
        <row r="178">
          <cell r="C178" t="str">
            <v>RF E1504GA-BQ1224WS</v>
          </cell>
          <cell r="E178" t="str">
            <v>E1504GA-BQ1224WS</v>
          </cell>
          <cell r="F178" t="str">
            <v>90NB0ZT1-M02650</v>
          </cell>
          <cell r="G178" t="str">
            <v xml:space="preserve">Intel® Core™ i3-N305 / 8GB DDR5 / 512GB PCIe® 3.0 SSD / 15.6-inch / FHD (1920 x 1080) 16:9  /  / Cool Silver /  / Win 11 Home / OFFICE HOME 2024 (IN)+M365 BASIC / </v>
          </cell>
          <cell r="H178">
            <v>27992</v>
          </cell>
          <cell r="I178">
            <v>22655</v>
          </cell>
          <cell r="J178">
            <v>25192</v>
          </cell>
          <cell r="K178">
            <v>20388</v>
          </cell>
          <cell r="L178">
            <v>2800</v>
          </cell>
          <cell r="M178">
            <v>2267</v>
          </cell>
          <cell r="N178" t="str">
            <v>01 - 29 MARCH</v>
          </cell>
          <cell r="O178" t="str">
            <v>(NB20260315)_Mar_Sellout Support_RF _Asus_Select</v>
          </cell>
        </row>
        <row r="179">
          <cell r="C179" t="str">
            <v>RF E1504GA-BQ1225WS</v>
          </cell>
          <cell r="E179" t="str">
            <v>E1504GA-BQ1225WS</v>
          </cell>
          <cell r="F179" t="str">
            <v>90NB0ZT2-M02660</v>
          </cell>
          <cell r="G179" t="str">
            <v xml:space="preserve">Intel® Core™ i3-N305 / 8GB DDR5 / 512GB PCIe® 3.0 SSD / 15.6-inch / FHD (1920 x 1080) 16:9  /  / Mixed Black /  / Win 11 Home / OFFICE HOME 2024 (IN)+M365 BASIC / </v>
          </cell>
          <cell r="H179">
            <v>27992</v>
          </cell>
          <cell r="I179">
            <v>22655</v>
          </cell>
          <cell r="J179">
            <v>25192</v>
          </cell>
          <cell r="K179">
            <v>20388</v>
          </cell>
          <cell r="L179">
            <v>2800</v>
          </cell>
          <cell r="M179">
            <v>2267</v>
          </cell>
          <cell r="N179" t="str">
            <v>01 - 29 MARCH</v>
          </cell>
          <cell r="O179" t="str">
            <v>(NB20260315)_Mar_Sellout Support_RF _Asus_Select</v>
          </cell>
        </row>
        <row r="180">
          <cell r="C180" t="str">
            <v>RF E1504GA-NJ321WS</v>
          </cell>
          <cell r="E180" t="str">
            <v>E1504GA-NJ321WS</v>
          </cell>
          <cell r="F180" t="str">
            <v>90NB0ZT1-M001K0</v>
          </cell>
          <cell r="G180" t="str">
            <v xml:space="preserve">Intel® Core™ i3-N305 /  /  / 8GB DDR4 / 512GB PCIe® 3.0 SSD / 15.6-inch / FHD (1920 x 1080) 16:9/  / Cool Silver / Backlit KB / Win 11 Home / MS Office / </v>
          </cell>
          <cell r="H180">
            <v>27992</v>
          </cell>
          <cell r="I180">
            <v>22655</v>
          </cell>
          <cell r="J180">
            <v>25192</v>
          </cell>
          <cell r="K180">
            <v>20388</v>
          </cell>
          <cell r="L180">
            <v>2800</v>
          </cell>
          <cell r="M180">
            <v>2267</v>
          </cell>
          <cell r="N180" t="str">
            <v>01 - 29 MARCH</v>
          </cell>
          <cell r="O180" t="str">
            <v>(NB20260315)_Mar_Sellout Support_RF _Asus_Select</v>
          </cell>
        </row>
        <row r="181">
          <cell r="C181" t="str">
            <v>RF E1504GA-NJ322WS</v>
          </cell>
          <cell r="E181" t="str">
            <v>E1504GA-NJ322WS</v>
          </cell>
          <cell r="F181" t="str">
            <v>90NB0ZT2-M001J0</v>
          </cell>
          <cell r="G181" t="str">
            <v xml:space="preserve">Intel® Core™ i3-N305 /  /  / 8GB DDR4 / 512GB PCIe® 3.0 SSD / 15.6-inch / FHD (1920 x 1080) 16:9  /  / Mixed Black / Backlit KB / Win 11 Home / MS Office / </v>
          </cell>
          <cell r="H181">
            <v>27992</v>
          </cell>
          <cell r="I181">
            <v>22655</v>
          </cell>
          <cell r="J181">
            <v>25192</v>
          </cell>
          <cell r="K181">
            <v>20388</v>
          </cell>
          <cell r="L181">
            <v>2800</v>
          </cell>
          <cell r="M181">
            <v>2267</v>
          </cell>
          <cell r="N181" t="str">
            <v>01 - 29 MARCH</v>
          </cell>
          <cell r="O181" t="str">
            <v>(NB20260315)_Mar_Sellout Support_RF _Asus_Select</v>
          </cell>
        </row>
        <row r="182">
          <cell r="C182" t="str">
            <v>RF E1504GA-NJ323WS</v>
          </cell>
          <cell r="E182" t="str">
            <v>E1504GA-NJ323WS</v>
          </cell>
          <cell r="F182" t="str">
            <v>90NB0ZT3-M00270</v>
          </cell>
          <cell r="G182" t="str">
            <v xml:space="preserve">Intel® Core™ i3-N305 /  /  / 8GB DDR4 / 512GB PCIe® 3.0 SSD / 15.6-inch / FHD (1920 x 1080) 16:9  /  / Green Grey / Backlit KB / Win 11 Home / MS Office / </v>
          </cell>
          <cell r="H182">
            <v>27992</v>
          </cell>
          <cell r="I182">
            <v>22655</v>
          </cell>
          <cell r="J182">
            <v>25192</v>
          </cell>
          <cell r="K182">
            <v>20388</v>
          </cell>
          <cell r="L182">
            <v>2800</v>
          </cell>
          <cell r="M182">
            <v>2267</v>
          </cell>
          <cell r="N182" t="str">
            <v>01 - 29 MARCH</v>
          </cell>
          <cell r="O182" t="str">
            <v>(NB20260315)_Mar_Sellout Support_RF _Asus_Select</v>
          </cell>
        </row>
        <row r="183">
          <cell r="C183" t="str">
            <v>RF E1504GA-NJ328WS</v>
          </cell>
          <cell r="E183" t="str">
            <v>E1504GA-NJ328WS</v>
          </cell>
          <cell r="F183" t="str">
            <v>90NB0ZT1-M00FE0</v>
          </cell>
          <cell r="G183" t="str">
            <v xml:space="preserve">Intel® Core™ i3-N305 /  /  / 8GB DDR4 / 512GB PCIe® 3.0 SSD / 15.6-inch / FHD (1920 x 1080) 16:9  /  / Cool Silver / Backlit KB / Win 11 Home / MS Office / </v>
          </cell>
          <cell r="H183">
            <v>27992</v>
          </cell>
          <cell r="I183">
            <v>22655</v>
          </cell>
          <cell r="J183">
            <v>25192</v>
          </cell>
          <cell r="K183">
            <v>20388</v>
          </cell>
          <cell r="L183">
            <v>2800</v>
          </cell>
          <cell r="M183">
            <v>2267</v>
          </cell>
          <cell r="N183" t="str">
            <v>01 - 29 MARCH</v>
          </cell>
          <cell r="O183" t="str">
            <v>(NB20260315)_Mar_Sellout Support_RF _Asus_Select</v>
          </cell>
        </row>
        <row r="184">
          <cell r="C184" t="str">
            <v>RF E1504GA-NJ3321WS</v>
          </cell>
          <cell r="E184" t="str">
            <v>E1504GA-NJ3321WS</v>
          </cell>
          <cell r="F184" t="str">
            <v>90NB0ZT1-M01740</v>
          </cell>
          <cell r="G184" t="str">
            <v xml:space="preserve">Intel® Core™ i3-N305 / 8GB DDR4 / 512GB PCIe® 3.0 SSD / 15.6-inch / FHD (1920 x 1080) 16:9  /  / Cool Silver /  / Win 11 Home / Office Home 2024 &amp; M365 Basic 1 Year / </v>
          </cell>
          <cell r="H184">
            <v>27992</v>
          </cell>
          <cell r="I184">
            <v>22655</v>
          </cell>
          <cell r="J184">
            <v>25192</v>
          </cell>
          <cell r="K184">
            <v>20388</v>
          </cell>
          <cell r="L184">
            <v>2800</v>
          </cell>
          <cell r="M184">
            <v>2267</v>
          </cell>
          <cell r="N184" t="str">
            <v>01 - 29 MARCH</v>
          </cell>
          <cell r="O184" t="str">
            <v>(NB20260315)_Mar_Sellout Support_RF _Asus_Select</v>
          </cell>
        </row>
        <row r="185">
          <cell r="C185" t="str">
            <v>RF E1504GA-NJ3322WS</v>
          </cell>
          <cell r="E185" t="str">
            <v>E1504GA-NJ3322WS</v>
          </cell>
          <cell r="F185" t="str">
            <v>90NB0ZT2-M01750</v>
          </cell>
          <cell r="G185" t="str">
            <v xml:space="preserve">Intel® Core™ i3-N305 / 8GB DDR4 / 512GB PCIe® 3.0 SSD / 15.6-inch / FHD (1920 x 1080) 16:9  /  / Mixed Black /  / Win 11 Home / Office Home 2024 &amp; M365 Basic 1 Year / </v>
          </cell>
          <cell r="H185">
            <v>27992</v>
          </cell>
          <cell r="I185">
            <v>22655</v>
          </cell>
          <cell r="J185">
            <v>25192</v>
          </cell>
          <cell r="K185">
            <v>20388</v>
          </cell>
          <cell r="L185">
            <v>2800</v>
          </cell>
          <cell r="M185">
            <v>2267</v>
          </cell>
          <cell r="N185" t="str">
            <v>01 - 29 MARCH</v>
          </cell>
          <cell r="O185" t="str">
            <v>(NB20260315)_Mar_Sellout Support_RF _Asus_Select</v>
          </cell>
        </row>
        <row r="186">
          <cell r="C186" t="str">
            <v>RF X1502ZA-EJ321WS</v>
          </cell>
          <cell r="E186" t="str">
            <v>X1502ZA-EJ321WS</v>
          </cell>
          <cell r="F186" t="str">
            <v>90NB0VX1-M01N80</v>
          </cell>
          <cell r="G186" t="str">
            <v xml:space="preserve">Intel® Core™ i3-1215U /  /  / 8GB DDR4  / 512GB PCIe® 3.0 SSD / 15.6-inch / FHD (1920 x 1080) 16:9  /  / Quiet Blue / Backlit KB / Win 11 Home / MS Office / </v>
          </cell>
          <cell r="H186">
            <v>27992</v>
          </cell>
          <cell r="I186">
            <v>22655</v>
          </cell>
          <cell r="J186">
            <v>25192</v>
          </cell>
          <cell r="K186">
            <v>20388</v>
          </cell>
          <cell r="L186">
            <v>2800</v>
          </cell>
          <cell r="M186">
            <v>2267</v>
          </cell>
          <cell r="N186" t="str">
            <v>01 - 29 MARCH</v>
          </cell>
          <cell r="O186" t="str">
            <v>(NB20260315)_Mar_Sellout Support_RF _Asus_Select</v>
          </cell>
        </row>
        <row r="187">
          <cell r="C187" t="str">
            <v>RF X1502ZA-EJ322WS</v>
          </cell>
          <cell r="E187" t="str">
            <v>X1502ZA-EJ322WS</v>
          </cell>
          <cell r="F187" t="str">
            <v>90NB0VX2-M01N90</v>
          </cell>
          <cell r="G187" t="str">
            <v xml:space="preserve">Intel® Core™ i3-1215U /  /  / 8GB DDR4  / 512GB PCIe® 3.0 SSD / 15.6-inch / FHD (1920 x 1080) 16:9  /  / Cool Silver / Backlit KB / Win 11 Home / MS Office / </v>
          </cell>
          <cell r="H187">
            <v>27992</v>
          </cell>
          <cell r="I187">
            <v>22655</v>
          </cell>
          <cell r="J187">
            <v>25192</v>
          </cell>
          <cell r="K187">
            <v>20388</v>
          </cell>
          <cell r="L187">
            <v>2800</v>
          </cell>
          <cell r="M187">
            <v>2267</v>
          </cell>
          <cell r="N187" t="str">
            <v>01 - 29 MARCH</v>
          </cell>
          <cell r="O187" t="str">
            <v>(NB20260315)_Mar_Sellout Support_RF _Asus_Select</v>
          </cell>
        </row>
        <row r="188">
          <cell r="C188" t="str">
            <v>RF X1502ZA-EJ323WS</v>
          </cell>
          <cell r="E188" t="str">
            <v>X1502ZA-EJ323WS</v>
          </cell>
          <cell r="F188" t="str">
            <v>90NB0VX1-M01JZ0</v>
          </cell>
          <cell r="G188" t="str">
            <v xml:space="preserve">Intel®Core™ i3-1215U /  /  / 8GB DDR4  / 512GB PCIe® 3.0 SSD / 15.6-inch / FHD (1920 x 1080) 16:9  /  / Quiet Blue /  /  / FingerPrint /  / Win 11 Home / MS Office / </v>
          </cell>
          <cell r="H188">
            <v>27992</v>
          </cell>
          <cell r="I188">
            <v>22655</v>
          </cell>
          <cell r="J188">
            <v>25192</v>
          </cell>
          <cell r="K188">
            <v>20388</v>
          </cell>
          <cell r="L188">
            <v>2800</v>
          </cell>
          <cell r="M188">
            <v>2267</v>
          </cell>
          <cell r="N188" t="str">
            <v>01 - 29 MARCH</v>
          </cell>
          <cell r="O188" t="str">
            <v>(NB20260315)_Mar_Sellout Support_RF _Asus_Select</v>
          </cell>
        </row>
        <row r="189">
          <cell r="C189" t="str">
            <v>RF X1502ZA-EJ953WS</v>
          </cell>
          <cell r="E189" t="str">
            <v>X1502ZA-EJ953WS</v>
          </cell>
          <cell r="F189" t="str">
            <v>90NB0VX2-M01DB0</v>
          </cell>
          <cell r="G189" t="str">
            <v xml:space="preserve">Intel®Core™ i3-1215U /  /  / 8GB DDR4  / 512GB PCIe® 3.0 SSD / 15.6-inch / FHD (1920 x 1080) 16:9  /  / Icelight Silver /  /  / FingerPrint /  / Win 11 Home / MS Office / </v>
          </cell>
          <cell r="H189">
            <v>27992</v>
          </cell>
          <cell r="I189">
            <v>22655</v>
          </cell>
          <cell r="J189">
            <v>25192</v>
          </cell>
          <cell r="K189">
            <v>20388</v>
          </cell>
          <cell r="L189">
            <v>2800</v>
          </cell>
          <cell r="M189">
            <v>2267</v>
          </cell>
          <cell r="N189" t="str">
            <v>01 - 29 MARCH</v>
          </cell>
          <cell r="O189" t="str">
            <v>(NB20260315)_Mar_Sellout Support_RF _Asus_Select</v>
          </cell>
        </row>
        <row r="190">
          <cell r="C190" t="str">
            <v>RF X415EA-EB572WS</v>
          </cell>
          <cell r="E190" t="str">
            <v>X415EA-EB572WS</v>
          </cell>
          <cell r="F190" t="str">
            <v>90NB0TT1-M17220</v>
          </cell>
          <cell r="G190" t="str">
            <v>i5-1135G7//8G/1TB + 256 PCIe SSD/TRANSPARENT SILVER/14" FHD vIPS/1Y international warranty + McAfee/Win 11 + Office H&amp;S/Finger Print/</v>
          </cell>
          <cell r="H190">
            <v>27993</v>
          </cell>
          <cell r="I190">
            <v>22655</v>
          </cell>
          <cell r="J190">
            <v>25193</v>
          </cell>
          <cell r="K190">
            <v>20389</v>
          </cell>
          <cell r="L190">
            <v>2800</v>
          </cell>
          <cell r="M190">
            <v>2266</v>
          </cell>
          <cell r="N190" t="str">
            <v>01 - 29 MARCH</v>
          </cell>
          <cell r="O190" t="str">
            <v>(NB20260315)_Mar_Sellout Support_RF _Asus_Select</v>
          </cell>
        </row>
        <row r="191">
          <cell r="C191" t="str">
            <v>RF X415EA-EK678TS</v>
          </cell>
          <cell r="E191" t="str">
            <v>X415EA-EK678TS</v>
          </cell>
          <cell r="F191" t="str">
            <v>90NB0TT1-M09290</v>
          </cell>
          <cell r="G191" t="str">
            <v>i5-1135G7//8G/256G PCIe SSD/TRANSPARENT SILVER/14" FHD/1Y international warranty + McAfee/Office H&amp;S/Finger Print/</v>
          </cell>
          <cell r="H191">
            <v>27993</v>
          </cell>
          <cell r="I191">
            <v>22655</v>
          </cell>
          <cell r="J191">
            <v>25193</v>
          </cell>
          <cell r="K191">
            <v>20389</v>
          </cell>
          <cell r="L191">
            <v>2800</v>
          </cell>
          <cell r="M191">
            <v>2266</v>
          </cell>
          <cell r="N191" t="str">
            <v>01 - 29 MARCH</v>
          </cell>
          <cell r="O191" t="str">
            <v>(NB20260315)_Mar_Sellout Support_RF _Asus_Select</v>
          </cell>
        </row>
        <row r="192">
          <cell r="C192" t="str">
            <v>RF X1404ZA-NK321WS</v>
          </cell>
          <cell r="E192" t="str">
            <v>X1404ZA-NK321WS</v>
          </cell>
          <cell r="F192" t="str">
            <v>90NB1001-M00A60</v>
          </cell>
          <cell r="G192" t="str">
            <v xml:space="preserve">Intel®Core™ i3-1215U /  /  / 8GB DDR4  / 512GB PCIe® 4.0 SSD / 14.0-inch / FHD (1920 x 1080) 16:9  /  / Quite Blue /  /  / FingerPrint /  / Win 11 Home / MS Office / </v>
          </cell>
          <cell r="H192">
            <v>28792</v>
          </cell>
          <cell r="I192">
            <v>23302</v>
          </cell>
          <cell r="J192">
            <v>25292</v>
          </cell>
          <cell r="K192">
            <v>20469</v>
          </cell>
          <cell r="L192">
            <v>3500</v>
          </cell>
          <cell r="M192">
            <v>2833</v>
          </cell>
          <cell r="N192" t="str">
            <v>01 - 29 MARCH</v>
          </cell>
          <cell r="O192" t="str">
            <v>(NB20260315)_Mar_Sellout Support_RF _Asus_Select</v>
          </cell>
        </row>
        <row r="193">
          <cell r="C193" t="str">
            <v>RF X1404ZA-NK322WS</v>
          </cell>
          <cell r="E193" t="str">
            <v>X1404ZA-NK322WS</v>
          </cell>
          <cell r="F193" t="str">
            <v>90NB1002-M00A70</v>
          </cell>
          <cell r="G193" t="str">
            <v xml:space="preserve">Intel®Core™ i3-1215U /  /  / 8GB DDR4  / 512GB PCIe® 4.0 SSD / 14.0-inch / FHD (1920 x 1080) 16:9  /  / Icelight Silver /  /  / FingerPrint /  / Win 11 Home / MS Office / </v>
          </cell>
          <cell r="H193">
            <v>28792</v>
          </cell>
          <cell r="I193">
            <v>23302</v>
          </cell>
          <cell r="J193">
            <v>25292</v>
          </cell>
          <cell r="K193">
            <v>20469</v>
          </cell>
          <cell r="L193">
            <v>3500</v>
          </cell>
          <cell r="M193">
            <v>2833</v>
          </cell>
          <cell r="N193" t="str">
            <v>01 - 29 MARCH</v>
          </cell>
          <cell r="O193" t="str">
            <v>(NB20260315)_Mar_Sellout Support_RF _Asus_Select</v>
          </cell>
        </row>
        <row r="194">
          <cell r="C194" t="str">
            <v>RF X1504ZA-NJ320WS</v>
          </cell>
          <cell r="E194" t="str">
            <v>X1504ZA-NJ320WS</v>
          </cell>
          <cell r="F194" t="str">
            <v>90NB14H2-M00020</v>
          </cell>
          <cell r="G194" t="str">
            <v xml:space="preserve">Intel®Core™ i3-1215U / 8GB DDR4  / 512GB PCIe® 4.0 SSD / 15.6-inch / FHD (1920 x 1080) 16:9  /  / Cool Silver / Backlit KB / Win 11 Home / MS Office / </v>
          </cell>
          <cell r="H194">
            <v>28792</v>
          </cell>
          <cell r="I194">
            <v>23302</v>
          </cell>
          <cell r="J194">
            <v>25292</v>
          </cell>
          <cell r="K194">
            <v>20469</v>
          </cell>
          <cell r="L194">
            <v>3500</v>
          </cell>
          <cell r="M194">
            <v>2833</v>
          </cell>
          <cell r="N194" t="str">
            <v>01 - 29 MARCH</v>
          </cell>
          <cell r="O194" t="str">
            <v>(NB20260315)_Mar_Sellout Support_RF _Asus_Select</v>
          </cell>
        </row>
        <row r="195">
          <cell r="C195" t="str">
            <v>RF X1504ZA-NJ321WS</v>
          </cell>
          <cell r="E195" t="str">
            <v>X1504ZA-NJ321WS</v>
          </cell>
          <cell r="F195" t="str">
            <v>90NB1021-M00580</v>
          </cell>
          <cell r="G195" t="str">
            <v xml:space="preserve">Intel®Core™ i3-1215U /  /  / 8GB DDR4  / 512GB PCIe® 3.0 SSD / 15.6-inch / FHD (1920 x 1080) 16:9  /  / Quiet Blue / Backlit KB / Win 11 Home / MS Office / </v>
          </cell>
          <cell r="H195">
            <v>28792</v>
          </cell>
          <cell r="I195">
            <v>23302</v>
          </cell>
          <cell r="J195">
            <v>25292</v>
          </cell>
          <cell r="K195">
            <v>20469</v>
          </cell>
          <cell r="L195">
            <v>3500</v>
          </cell>
          <cell r="M195">
            <v>2833</v>
          </cell>
          <cell r="N195" t="str">
            <v>01 - 29 MARCH</v>
          </cell>
          <cell r="O195" t="str">
            <v>(NB20260315)_Mar_Sellout Support_RF _Asus_Select</v>
          </cell>
        </row>
        <row r="196">
          <cell r="C196" t="str">
            <v>RF X1504ZA-NJ322WS</v>
          </cell>
          <cell r="E196" t="str">
            <v>X1504ZA-NJ322WS</v>
          </cell>
          <cell r="F196" t="str">
            <v>90NB1022-M00AF0</v>
          </cell>
          <cell r="G196" t="str">
            <v xml:space="preserve">Intel®Core™ i3-1215U /  /  / 8GB DDR4  / 512GB PCIe® 3.0 SSD / 15.6-inch / FHD (1920 x 1080) 16:9  /  / Cool Silver / Backlit KB / Win 11 Home / MS Office / </v>
          </cell>
          <cell r="H196">
            <v>28792</v>
          </cell>
          <cell r="I196">
            <v>23302</v>
          </cell>
          <cell r="J196">
            <v>25292</v>
          </cell>
          <cell r="K196">
            <v>20469</v>
          </cell>
          <cell r="L196">
            <v>3500</v>
          </cell>
          <cell r="M196">
            <v>2833</v>
          </cell>
          <cell r="N196" t="str">
            <v>01 - 29 MARCH</v>
          </cell>
          <cell r="O196" t="str">
            <v>(NB20260315)_Mar_Sellout Support_RF _Asus_Select</v>
          </cell>
        </row>
        <row r="197">
          <cell r="C197" t="str">
            <v>RF X1504ZA-NJ326WS</v>
          </cell>
          <cell r="E197" t="str">
            <v>X1504ZA-NJ326WS</v>
          </cell>
          <cell r="F197" t="str">
            <v>90NB1021-M00V10</v>
          </cell>
          <cell r="G197" t="str">
            <v xml:space="preserve">Intel®Core™ i3-1215U /  /  / 8GB DDR4  / 512GB PCIe® 3.0 SSD / 15.6-inch / FHD (1920 x 1080) 16:9  /  / Quiet Blue / Backlit KB / Win 11 Home / MS Office / </v>
          </cell>
          <cell r="H197">
            <v>28792</v>
          </cell>
          <cell r="I197">
            <v>23302</v>
          </cell>
          <cell r="J197">
            <v>25292</v>
          </cell>
          <cell r="K197">
            <v>20469</v>
          </cell>
          <cell r="L197">
            <v>3500</v>
          </cell>
          <cell r="M197">
            <v>2833</v>
          </cell>
          <cell r="N197" t="str">
            <v>01 - 29 MARCH</v>
          </cell>
          <cell r="O197" t="str">
            <v>(NB20260315)_Mar_Sellout Support_RF _Asus_Select</v>
          </cell>
        </row>
        <row r="198">
          <cell r="C198" t="str">
            <v>RF X1605ZAB-MB322WS</v>
          </cell>
          <cell r="E198" t="str">
            <v>X1605ZAB-MB322WS</v>
          </cell>
          <cell r="F198" t="str">
            <v>90NB0ZA3-M00U70</v>
          </cell>
          <cell r="G198" t="str">
            <v xml:space="preserve">Intel®Core™ i3-1215U /  /  / 8GB DDR4  / 512GB PCIe® 4.0 SSD / 16.0-inch / WUXGA (1920 x 1200) 16:10  /  / Indie Black /  /  / FingerPrint /  / Win 11 Home / MS Office / </v>
          </cell>
          <cell r="H198">
            <v>28792</v>
          </cell>
          <cell r="I198">
            <v>23302</v>
          </cell>
          <cell r="J198">
            <v>25292</v>
          </cell>
          <cell r="K198">
            <v>20469</v>
          </cell>
          <cell r="L198">
            <v>3500</v>
          </cell>
          <cell r="M198">
            <v>2833</v>
          </cell>
          <cell r="N198" t="str">
            <v>01 - 29 MARCH</v>
          </cell>
          <cell r="O198" t="str">
            <v>(NB20260315)_Mar_Sellout Support_RF _Asus_Select</v>
          </cell>
        </row>
        <row r="199">
          <cell r="C199" t="str">
            <v>RF E1504FA-NJ130WS</v>
          </cell>
          <cell r="E199" t="str">
            <v>E1504FA-NJ130WS</v>
          </cell>
          <cell r="F199" t="str">
            <v>90NB0ZR2-M02L70</v>
          </cell>
          <cell r="G199" t="str">
            <v xml:space="preserve">AMD Ryzen™ 3 7320U / 8GB LPDDR5 / 512GB PCIe® 3.0 SSD / 15.6-inch / FHD (1920 x 1080) 16:9  /  / Mixed Black /  / Win 11 Home / Office Home 2024 &amp; M365 Basic 1 Year / </v>
          </cell>
          <cell r="H199">
            <v>27192</v>
          </cell>
          <cell r="I199">
            <v>22007</v>
          </cell>
          <cell r="J199">
            <v>25792</v>
          </cell>
          <cell r="K199">
            <v>20874</v>
          </cell>
          <cell r="L199">
            <v>1400</v>
          </cell>
          <cell r="M199">
            <v>1133</v>
          </cell>
          <cell r="N199" t="str">
            <v>01 - 29 MARCH</v>
          </cell>
          <cell r="O199" t="str">
            <v>(NB20260315)_Mar_Sellout Support_RF _Asus_Select</v>
          </cell>
        </row>
        <row r="200">
          <cell r="C200" t="str">
            <v>RF E1404FA-NK3325WS</v>
          </cell>
          <cell r="E200" t="str">
            <v>E1404FA-NK3325WS</v>
          </cell>
          <cell r="F200" t="str">
            <v>90NB0ZS2-M00YA0</v>
          </cell>
          <cell r="G200" t="str">
            <v xml:space="preserve">AMD Ryzen™ 3 7320U / 8GB DDR5 / 512GB PCIe® 3.0 SSD / 14.0-inch / FHD (1920 x 1080) 16:9  /  / Mixed Black / NumberPad / Win 11 Home / Office Home 2024 &amp; M365 Basic 1 Year / </v>
          </cell>
          <cell r="H200">
            <v>27192</v>
          </cell>
          <cell r="I200">
            <v>22007</v>
          </cell>
          <cell r="J200">
            <v>25792</v>
          </cell>
          <cell r="K200">
            <v>20874</v>
          </cell>
          <cell r="L200">
            <v>1400</v>
          </cell>
          <cell r="M200">
            <v>1133</v>
          </cell>
          <cell r="N200" t="str">
            <v>01 - 29 MARCH</v>
          </cell>
          <cell r="O200" t="str">
            <v>(NB20260315)_Mar_Sellout Support_RF _Asus_Select</v>
          </cell>
        </row>
        <row r="201">
          <cell r="C201" t="str">
            <v>RF E1504FA-NJ131WS</v>
          </cell>
          <cell r="E201" t="str">
            <v>E1504FA-NJ131WS</v>
          </cell>
          <cell r="F201" t="str">
            <v>90NB0ZR1-M02L90</v>
          </cell>
          <cell r="G201" t="str">
            <v xml:space="preserve">AMD Ryzen™ 3 7320U / 8GB LPDDR5 / 512GB PCIe® 3.0 SSD / 15.6-inch / FHD (1920 x 1080) 16:9  /  / Cool Silver /  / Win 11 Home / Office Home 2024 &amp; M365 Basic 1 Year / </v>
          </cell>
          <cell r="H201">
            <v>27192</v>
          </cell>
          <cell r="I201">
            <v>22007</v>
          </cell>
          <cell r="J201">
            <v>25792</v>
          </cell>
          <cell r="K201">
            <v>20874</v>
          </cell>
          <cell r="L201">
            <v>1400</v>
          </cell>
          <cell r="M201">
            <v>1133</v>
          </cell>
          <cell r="N201" t="str">
            <v>01 - 29 MARCH</v>
          </cell>
          <cell r="O201" t="str">
            <v>(NB20260315)_Mar_Sellout Support_RF _Asus_Select</v>
          </cell>
        </row>
        <row r="202">
          <cell r="C202" t="str">
            <v>RF E1404FA-NK3321WS</v>
          </cell>
          <cell r="E202" t="str">
            <v>E1404FA-NK3321WS</v>
          </cell>
          <cell r="F202" t="str">
            <v>90NB0ZS1-M00Y00</v>
          </cell>
          <cell r="G202" t="str">
            <v xml:space="preserve">AMD Ryzen™ 3 7320U / 8GB DDR5 / 512GB PCIe® 3.0 SSD / 14.0-inch / FHD (1920 x 1080) 16:9  /  / Cool Silver / NumberPad / Win 11 Home / Office Home 2024 &amp; M365 Basic 1 Year / </v>
          </cell>
          <cell r="H202">
            <v>27192</v>
          </cell>
          <cell r="I202">
            <v>22007</v>
          </cell>
          <cell r="J202">
            <v>25792</v>
          </cell>
          <cell r="K202">
            <v>20874</v>
          </cell>
          <cell r="L202">
            <v>1400</v>
          </cell>
          <cell r="M202">
            <v>1133</v>
          </cell>
          <cell r="N202" t="str">
            <v>01 - 29 MARCH</v>
          </cell>
          <cell r="O202" t="str">
            <v>(NB20260315)_Mar_Sellout Support_RF _Asus_Select</v>
          </cell>
        </row>
        <row r="203">
          <cell r="C203" t="str">
            <v>RF E1504FA-NJ322WS</v>
          </cell>
          <cell r="E203" t="str">
            <v>E1504FA-NJ322WS</v>
          </cell>
          <cell r="F203" t="str">
            <v>90NB0ZR2-M008C0</v>
          </cell>
          <cell r="G203" t="str">
            <v xml:space="preserve">AMD Ryzen™ 3 7320U /  /  / 8GB LPDDR5 / 512GB PCIe® 3.0 SSD / 15.6-inch / FHD (1920 x 1080) 16:9  /  / Mixed Black /  / Win 11 Home / MS Office / </v>
          </cell>
          <cell r="H203">
            <v>27192</v>
          </cell>
          <cell r="I203">
            <v>22007</v>
          </cell>
          <cell r="J203">
            <v>25792</v>
          </cell>
          <cell r="K203">
            <v>20874</v>
          </cell>
          <cell r="L203">
            <v>1400</v>
          </cell>
          <cell r="M203">
            <v>1133</v>
          </cell>
          <cell r="N203" t="str">
            <v>01 - 29 MARCH</v>
          </cell>
          <cell r="O203" t="str">
            <v>(NB20260315)_Mar_Sellout Support_RF _Asus_Select</v>
          </cell>
        </row>
        <row r="204">
          <cell r="C204" t="str">
            <v>RF E1404FA-NK321WS</v>
          </cell>
          <cell r="E204" t="str">
            <v>E1404FA-NK321WS</v>
          </cell>
          <cell r="F204" t="str">
            <v>90NB0ZS1-M00920</v>
          </cell>
          <cell r="G204" t="str">
            <v xml:space="preserve">AMD Ryzen™ 3 7320U /  /  / 8GB DDR5 / 512GB PCIe® 3.0 SSD / 14.0-inch / FHD (1920 x 1080) 16:9  /  / Cool Silver / NumberPad / Win 11 Home / MS Office / </v>
          </cell>
          <cell r="H204">
            <v>27192</v>
          </cell>
          <cell r="I204">
            <v>22007</v>
          </cell>
          <cell r="J204">
            <v>25792</v>
          </cell>
          <cell r="K204">
            <v>20874</v>
          </cell>
          <cell r="L204">
            <v>1400</v>
          </cell>
          <cell r="M204">
            <v>1133</v>
          </cell>
          <cell r="N204" t="str">
            <v>01 - 29 MARCH</v>
          </cell>
          <cell r="O204" t="str">
            <v>(NB20260315)_Mar_Sellout Support_RF _Asus_Select</v>
          </cell>
        </row>
        <row r="205">
          <cell r="C205" t="str">
            <v>RF E1504FA-NJ321WS</v>
          </cell>
          <cell r="E205" t="str">
            <v>E1504FA-NJ321WS</v>
          </cell>
          <cell r="F205" t="str">
            <v>90NB0ZR1-M00AE0</v>
          </cell>
          <cell r="G205" t="str">
            <v xml:space="preserve">AMD Ryzen™ 3 7320U /  /  / 8GB LPDDR5 / 512GB PCIe® 3.0 SSD / 15.6-inch / FHD (1920 x 1080) 16:9  /  / Cool Silver /  / Win 11 Home / MS Office / </v>
          </cell>
          <cell r="H205">
            <v>27192</v>
          </cell>
          <cell r="I205">
            <v>22007</v>
          </cell>
          <cell r="J205">
            <v>25792</v>
          </cell>
          <cell r="K205">
            <v>20874</v>
          </cell>
          <cell r="L205">
            <v>1400</v>
          </cell>
          <cell r="M205">
            <v>1133</v>
          </cell>
          <cell r="N205" t="str">
            <v>01 - 29 MARCH</v>
          </cell>
          <cell r="O205" t="str">
            <v>(NB20260315)_Mar_Sellout Support_RF _Asus_Select</v>
          </cell>
        </row>
        <row r="206">
          <cell r="C206" t="str">
            <v>RF E1404FA-NK325WS</v>
          </cell>
          <cell r="E206" t="str">
            <v>E1404FA-NK325WS</v>
          </cell>
          <cell r="F206" t="str">
            <v>90NB0ZS2-M00DJ0</v>
          </cell>
          <cell r="G206" t="str">
            <v xml:space="preserve">AMD Ryzen™ 3 7320U /  /  / 8GB DDR5 / 512GB PCIe® 3.0 SSD / 14.0-inch / FHD (1920 x 1080) 16:9  /  / Mixed Black / NumberPad / Win 11 Home / MS Office / </v>
          </cell>
          <cell r="H206">
            <v>27192</v>
          </cell>
          <cell r="I206">
            <v>22007</v>
          </cell>
          <cell r="J206">
            <v>25792</v>
          </cell>
          <cell r="K206">
            <v>20874</v>
          </cell>
          <cell r="L206">
            <v>1400</v>
          </cell>
          <cell r="M206">
            <v>1133</v>
          </cell>
          <cell r="N206" t="str">
            <v>01 - 29 MARCH</v>
          </cell>
          <cell r="O206" t="str">
            <v>(NB20260315)_Mar_Sellout Support_RF _Asus_Select</v>
          </cell>
        </row>
        <row r="207">
          <cell r="C207" t="str">
            <v>RF E1404FA-NK323WS</v>
          </cell>
          <cell r="E207" t="str">
            <v>E1404FA-NK323WS</v>
          </cell>
          <cell r="F207" t="str">
            <v>90NB0ZS3-M00940</v>
          </cell>
          <cell r="G207" t="str">
            <v xml:space="preserve">AMD Ryzen™ 3 7320U /  /  / 8GB DDR5 / 512GB PCIe® 3.0 SSD / 14.0-inch / FHD (1920 x 1080) 16:9  /  / Grey Green / NumberPad / Win 11 Home / MS Office / </v>
          </cell>
          <cell r="H207">
            <v>27192</v>
          </cell>
          <cell r="I207">
            <v>22007</v>
          </cell>
          <cell r="J207">
            <v>25792</v>
          </cell>
          <cell r="K207">
            <v>20874</v>
          </cell>
          <cell r="L207">
            <v>1400</v>
          </cell>
          <cell r="M207">
            <v>1133</v>
          </cell>
          <cell r="N207" t="str">
            <v>01 - 29 MARCH</v>
          </cell>
          <cell r="O207" t="str">
            <v>(NB20260315)_Mar_Sellout Support_RF _Asus_Select</v>
          </cell>
        </row>
        <row r="208">
          <cell r="C208" t="str">
            <v>RF E1404FA-NK322WS</v>
          </cell>
          <cell r="E208" t="str">
            <v>E1404FA-NK322WS</v>
          </cell>
          <cell r="F208" t="str">
            <v>90NB0ZS2-M00930</v>
          </cell>
          <cell r="G208" t="str">
            <v xml:space="preserve">AMD Ryzen™ 3 7320U /  /  / 8GB DDR5 / 512GB PCIe® 3.0 SSD / 14.0-inch / FHD (1920 x 1080) 16:9  /  / Mixed Black / NumberPad / Win 11 Home / MS Office / </v>
          </cell>
          <cell r="H208">
            <v>27192</v>
          </cell>
          <cell r="I208">
            <v>22007</v>
          </cell>
          <cell r="J208">
            <v>25792</v>
          </cell>
          <cell r="K208">
            <v>20874</v>
          </cell>
          <cell r="L208">
            <v>1400</v>
          </cell>
          <cell r="M208">
            <v>1133</v>
          </cell>
          <cell r="N208" t="str">
            <v>01 - 29 MARCH</v>
          </cell>
          <cell r="O208" t="str">
            <v>(NB20260315)_Mar_Sellout Support_RF _Asus_Select</v>
          </cell>
        </row>
        <row r="209">
          <cell r="C209" t="str">
            <v>RF E1404FA-NK322WS</v>
          </cell>
          <cell r="E209" t="str">
            <v>E1404FA-NK322WS</v>
          </cell>
          <cell r="F209" t="str">
            <v>90NB0ZS2-M003U0</v>
          </cell>
          <cell r="G209" t="str">
            <v xml:space="preserve">AMD Ryzen™ 3 7320U /  /  / 8GB DDR5 / 512GB PCIe® 3.0 SSD / 14.0-inch / FHD (1920 x 1080) 16:9  /  / Mixed Black / NumberPad / Win 11 Home / MS Office / </v>
          </cell>
          <cell r="H209">
            <v>27192</v>
          </cell>
          <cell r="I209">
            <v>22007</v>
          </cell>
          <cell r="J209">
            <v>25792</v>
          </cell>
          <cell r="K209">
            <v>20874</v>
          </cell>
          <cell r="L209">
            <v>1400</v>
          </cell>
          <cell r="M209">
            <v>1133</v>
          </cell>
          <cell r="N209" t="str">
            <v>01 - 29 MARCH</v>
          </cell>
          <cell r="O209" t="str">
            <v>(NB20260315)_Mar_Sellout Support_RF _Asus_Select</v>
          </cell>
        </row>
        <row r="210">
          <cell r="C210" t="str">
            <v>RF E1404FA-NK327WS</v>
          </cell>
          <cell r="E210" t="str">
            <v>E1404FA-NK327WS</v>
          </cell>
          <cell r="F210" t="str">
            <v>90NB0ZS2-M00DT0</v>
          </cell>
          <cell r="G210" t="str">
            <v xml:space="preserve">AMD Ryzen™ 3 7320U /  /  / 8GB DDR5 / 512GB PCIe® 3.0 SSD / 14.0-inch / FHD (1920 x 1080) 16:9  /  / Mixed Black / NumberPad / Win 11 Home / MS Office / </v>
          </cell>
          <cell r="H210">
            <v>27192</v>
          </cell>
          <cell r="I210">
            <v>22007</v>
          </cell>
          <cell r="J210">
            <v>25792</v>
          </cell>
          <cell r="K210">
            <v>20874</v>
          </cell>
          <cell r="L210">
            <v>1400</v>
          </cell>
          <cell r="M210">
            <v>1133</v>
          </cell>
          <cell r="N210" t="str">
            <v>01 - 29 MARCH</v>
          </cell>
          <cell r="O210" t="str">
            <v>(NB20260315)_Mar_Sellout Support_RF _Asus_Select</v>
          </cell>
        </row>
        <row r="211">
          <cell r="C211" t="str">
            <v>RF K513EA-BQ502TS</v>
          </cell>
          <cell r="E211" t="str">
            <v>K513EA-BQ502TS</v>
          </cell>
          <cell r="F211" t="str">
            <v>90NB0SG1-M05720</v>
          </cell>
          <cell r="G211" t="str">
            <v>i5-1135G7//8G/512 PCIe SSD/INDIE BLACK/15.6"FHD vIPS/1Y international warranty + McAfee/Office H&amp;S/Backlit KB/Finger Print</v>
          </cell>
          <cell r="H211">
            <v>28693</v>
          </cell>
          <cell r="I211">
            <v>23222</v>
          </cell>
          <cell r="J211">
            <v>25823</v>
          </cell>
          <cell r="K211">
            <v>20899</v>
          </cell>
          <cell r="L211">
            <v>2870</v>
          </cell>
          <cell r="M211">
            <v>2323</v>
          </cell>
          <cell r="N211" t="str">
            <v>01 - 29 MARCH</v>
          </cell>
          <cell r="O211" t="str">
            <v>(NB20260315)_Mar_Sellout Support_RF _Asus_Select</v>
          </cell>
        </row>
        <row r="212">
          <cell r="C212" t="str">
            <v>RF X415EA-EB502WS</v>
          </cell>
          <cell r="E212" t="str">
            <v>X415EA-EB502WS</v>
          </cell>
          <cell r="F212" t="str">
            <v>90NB0TT1-M17170</v>
          </cell>
          <cell r="G212" t="str">
            <v>i5-1135G7//8G/256G PCIe SSD/TRANSPARENT SILVER/14" FHD vIPS/1Y international warranty + McAfee/Win 11 + Office H&amp;S/Finger Print/</v>
          </cell>
          <cell r="H212">
            <v>28693</v>
          </cell>
          <cell r="I212">
            <v>23222</v>
          </cell>
          <cell r="J212">
            <v>25823</v>
          </cell>
          <cell r="K212">
            <v>20899</v>
          </cell>
          <cell r="L212">
            <v>2870</v>
          </cell>
          <cell r="M212">
            <v>2323</v>
          </cell>
          <cell r="N212" t="str">
            <v>01 - 29 MARCH</v>
          </cell>
          <cell r="O212" t="str">
            <v>(NB20260315)_Mar_Sellout Support_RF _Asus_Select</v>
          </cell>
        </row>
        <row r="213">
          <cell r="C213" t="str">
            <v>RF X515EA-BQ522TS</v>
          </cell>
          <cell r="E213" t="str">
            <v>X515EA-BQ522TS</v>
          </cell>
          <cell r="F213" t="str">
            <v>90NB0TY2-M16550</v>
          </cell>
          <cell r="G213" t="str">
            <v>i5-1135G7//8G/512G PCIe SSD/TRANSPARENT SILVER/15.6"FHD vIPS/1Y international warranty + McAfee/Office H&amp;S/Finger Print/</v>
          </cell>
          <cell r="H213">
            <v>28693</v>
          </cell>
          <cell r="I213">
            <v>23222</v>
          </cell>
          <cell r="J213">
            <v>25823</v>
          </cell>
          <cell r="K213">
            <v>20899</v>
          </cell>
          <cell r="L213">
            <v>2870</v>
          </cell>
          <cell r="M213">
            <v>2323</v>
          </cell>
          <cell r="N213" t="str">
            <v>01 - 29 MARCH</v>
          </cell>
          <cell r="O213" t="str">
            <v>(NB20260315)_Mar_Sellout Support_RF _Asus_Select</v>
          </cell>
        </row>
        <row r="214">
          <cell r="C214" t="str">
            <v>RF X515EA-BQ522WS</v>
          </cell>
          <cell r="E214" t="str">
            <v>X515EA-BQ522WS</v>
          </cell>
          <cell r="F214" t="str">
            <v>90NB0TY2-M26780</v>
          </cell>
          <cell r="G214" t="str">
            <v>i5-1135G7//8G/512G PCIe SSD/TRANSPARENT SILVER/15.6"FHD vIPS/1Y international warranty + McAfee/Office H&amp;S/Finger Print/ Win 11</v>
          </cell>
          <cell r="H214">
            <v>28693</v>
          </cell>
          <cell r="I214">
            <v>23222</v>
          </cell>
          <cell r="J214">
            <v>25823</v>
          </cell>
          <cell r="K214">
            <v>20899</v>
          </cell>
          <cell r="L214">
            <v>2870</v>
          </cell>
          <cell r="M214">
            <v>2323</v>
          </cell>
          <cell r="N214" t="str">
            <v>01 - 29 MARCH</v>
          </cell>
          <cell r="O214" t="str">
            <v>(NB20260315)_Mar_Sellout Support_RF _Asus_Select</v>
          </cell>
        </row>
        <row r="215">
          <cell r="C215" t="str">
            <v>RF X515EA-BQ562TS</v>
          </cell>
          <cell r="E215" t="str">
            <v>X515EA-BQ562TS</v>
          </cell>
          <cell r="F215" t="str">
            <v>90NB0TY2-M20260</v>
          </cell>
          <cell r="G215" t="str">
            <v>i5-1135G7//8G/512G PCIe SSD + Optane 32G/TRANSPARENT SILVER/15.6"FHD vIPS/1Y international warranty + McAfee/Office H&amp;S/Finger Print/</v>
          </cell>
          <cell r="H215">
            <v>28693</v>
          </cell>
          <cell r="I215">
            <v>23222</v>
          </cell>
          <cell r="J215">
            <v>25823</v>
          </cell>
          <cell r="K215">
            <v>20899</v>
          </cell>
          <cell r="L215">
            <v>2870</v>
          </cell>
          <cell r="M215">
            <v>2323</v>
          </cell>
          <cell r="N215" t="str">
            <v>01 - 29 MARCH</v>
          </cell>
          <cell r="O215" t="str">
            <v>(NB20260315)_Mar_Sellout Support_RF _Asus_Select</v>
          </cell>
        </row>
        <row r="216">
          <cell r="C216" t="str">
            <v>RF KM513UA-L712WS</v>
          </cell>
          <cell r="E216" t="str">
            <v>KM513UA-L712WS</v>
          </cell>
          <cell r="F216" t="str">
            <v>90NB0TP1-M003V0</v>
          </cell>
          <cell r="G216" t="str">
            <v xml:space="preserve">R7 5700U /  / 16GB / 512GB SSD / Indie Black / 15.6-inch / FHD OLED  / 1Y International Warranty / McAfee / Win 11 / Office H&amp;S 2021 / FingerPrint / Backlit KB /  / </v>
          </cell>
          <cell r="H216">
            <v>32893</v>
          </cell>
          <cell r="I216">
            <v>26621</v>
          </cell>
          <cell r="J216">
            <v>25893</v>
          </cell>
          <cell r="K216">
            <v>20956</v>
          </cell>
          <cell r="L216">
            <v>7000</v>
          </cell>
          <cell r="M216">
            <v>5665</v>
          </cell>
          <cell r="N216" t="str">
            <v>01 - 29 MARCH</v>
          </cell>
          <cell r="O216" t="str">
            <v>(NB20260315)_Mar_Sellout Support_RF _Asus_Select</v>
          </cell>
        </row>
        <row r="217">
          <cell r="C217" t="str">
            <v>RF M515UA-EJ512TS</v>
          </cell>
          <cell r="E217" t="str">
            <v>M515UA-EJ512TS</v>
          </cell>
          <cell r="F217" t="str">
            <v>90NB0U12-M02230</v>
          </cell>
          <cell r="G217" t="str">
            <v>R5-5500U//8G/512G PCIe SSD/TRANSPARENT SILVER/15.6"FHD/1Y international warranty + McAfee/Office H&amp;S/Finger Print/</v>
          </cell>
          <cell r="H217">
            <v>27993</v>
          </cell>
          <cell r="I217">
            <v>22655</v>
          </cell>
          <cell r="J217">
            <v>25893</v>
          </cell>
          <cell r="K217">
            <v>20956</v>
          </cell>
          <cell r="L217">
            <v>2100</v>
          </cell>
          <cell r="M217">
            <v>1699</v>
          </cell>
          <cell r="N217" t="str">
            <v>01 - 29 MARCH</v>
          </cell>
          <cell r="O217" t="str">
            <v>(NB20260315)_Mar_Sellout Support_RF _Asus_Select</v>
          </cell>
        </row>
        <row r="218">
          <cell r="C218" t="str">
            <v>RF X415JA-EK701WS</v>
          </cell>
          <cell r="E218" t="str">
            <v>X415JA-EK701WS</v>
          </cell>
          <cell r="F218" t="str">
            <v>90NB0ST1-M002H0</v>
          </cell>
          <cell r="G218" t="str">
            <v>i7-1065G7//16G/512 PCIe SSD /TRANSPARENT SILVER/14" FHD/1Y international warranty + McAfee/Win 11 + Office H&amp;S/Finger Print/</v>
          </cell>
          <cell r="H218">
            <v>28794</v>
          </cell>
          <cell r="I218">
            <v>23304</v>
          </cell>
          <cell r="J218">
            <v>25994</v>
          </cell>
          <cell r="K218">
            <v>21038</v>
          </cell>
          <cell r="L218">
            <v>2800</v>
          </cell>
          <cell r="M218">
            <v>2266</v>
          </cell>
          <cell r="N218" t="str">
            <v>01 - 29 MARCH</v>
          </cell>
          <cell r="O218" t="str">
            <v>(NB20260315)_Mar_Sellout Support_RF _Asus_Select</v>
          </cell>
        </row>
        <row r="219">
          <cell r="C219" t="str">
            <v>RF X509FA-EJ562TS</v>
          </cell>
          <cell r="E219" t="str">
            <v>X509FA-EJ562TS</v>
          </cell>
          <cell r="F219" t="str">
            <v>90NB0MZ2-M13190</v>
          </cell>
          <cell r="G219" t="str">
            <v>i5-8265U//8G/256G PCIe SSD/SLATE GREY/15.6"FHD/1Y international warranty/Office H&amp;S/Finger Print/FP/ H&amp;S/</v>
          </cell>
          <cell r="H219">
            <v>29994</v>
          </cell>
          <cell r="I219">
            <v>24275</v>
          </cell>
          <cell r="J219">
            <v>26494</v>
          </cell>
          <cell r="K219">
            <v>21442</v>
          </cell>
          <cell r="L219">
            <v>3500</v>
          </cell>
          <cell r="M219">
            <v>2833</v>
          </cell>
          <cell r="N219" t="str">
            <v>01 - 29 MARCH</v>
          </cell>
          <cell r="O219" t="str">
            <v>(NB20260315)_Mar_Sellout Support_RF _Asus_Select</v>
          </cell>
        </row>
        <row r="220">
          <cell r="C220" t="str">
            <v>RF E1404FA-EB900WS</v>
          </cell>
          <cell r="E220" t="str">
            <v>E1404FA-EB900WS</v>
          </cell>
          <cell r="F220" t="str">
            <v>90NB0ZS1-M01HA0</v>
          </cell>
          <cell r="G220" t="str">
            <v xml:space="preserve">AMD Ryzen™ 3 7320U / 8GB DDR5 / 512GB PCIe® 3.0 SSD / 14.0-inch / 14" FHD ANTI-GLARE NON-TOUCH,250NITS,NTSC:45%,VIPS-NB(EB) /  / Cool Silver / NumberPad /  / FingerPrint /  / Win 11 Home / OFFICE HOME 24(IN)+M365 BASIC / </v>
          </cell>
          <cell r="H220">
            <v>27992</v>
          </cell>
          <cell r="I220">
            <v>22655</v>
          </cell>
          <cell r="J220">
            <v>26592</v>
          </cell>
          <cell r="K220">
            <v>21521</v>
          </cell>
          <cell r="L220">
            <v>1400</v>
          </cell>
          <cell r="M220">
            <v>1134</v>
          </cell>
          <cell r="N220" t="str">
            <v>01 - 29 MARCH</v>
          </cell>
          <cell r="O220" t="str">
            <v>(NB20260315)_Mar_Sellout Support_RF _Asus_Select</v>
          </cell>
        </row>
        <row r="221">
          <cell r="C221" t="str">
            <v>RF E1504FA-BQ2322WS</v>
          </cell>
          <cell r="E221" t="str">
            <v>E1504FA-BQ2322WS</v>
          </cell>
          <cell r="F221" t="str">
            <v>90NB0ZR2-M03VC0</v>
          </cell>
          <cell r="G221" t="str">
            <v xml:space="preserve">AMD Ryzen™ 3 7320U / 8GB LPDDR5 / 512GB PCIe® 3.0 SSD / 15.6-inch / 15.6" FHD ANTI-GLARE NON-TOUCH,250NITS,NTSC:45%,VIPS-NB(BQ) /  / Mixed Black /  / Win 11 Home / OFFICE HOME 24(IN)+M365 BASIC / </v>
          </cell>
          <cell r="H221">
            <v>27992</v>
          </cell>
          <cell r="I221">
            <v>22655</v>
          </cell>
          <cell r="J221">
            <v>26592</v>
          </cell>
          <cell r="K221">
            <v>21521</v>
          </cell>
          <cell r="L221">
            <v>1400</v>
          </cell>
          <cell r="M221">
            <v>1134</v>
          </cell>
          <cell r="N221" t="str">
            <v>01 - 29 MARCH</v>
          </cell>
          <cell r="O221" t="str">
            <v>(NB20260315)_Mar_Sellout Support_RF _Asus_Select</v>
          </cell>
        </row>
        <row r="222">
          <cell r="C222" t="str">
            <v>RF E1404FA-EB901WS</v>
          </cell>
          <cell r="E222" t="str">
            <v>E1404FA-EB901WS</v>
          </cell>
          <cell r="F222" t="str">
            <v>90NB0ZS2-M01HB0</v>
          </cell>
          <cell r="G222" t="str">
            <v xml:space="preserve">AMD Ryzen™ 3 7320U / 8GB DDR5 / 512GB PCIe® 3.0 SSD / 14.0-inch / 14" FHD ANTI-GLARE NON-TOUCH,250NITS,NTSC:45%,VIPS-NB(EB) /  / Mixed Black / NumberPad /  / FingerPrint /  / Win 11 Home / OFFICE HOME 24(IN)+M365 BASIC / </v>
          </cell>
          <cell r="H222">
            <v>27992</v>
          </cell>
          <cell r="I222">
            <v>22655</v>
          </cell>
          <cell r="J222">
            <v>26592</v>
          </cell>
          <cell r="K222">
            <v>21521</v>
          </cell>
          <cell r="L222">
            <v>1400</v>
          </cell>
          <cell r="M222">
            <v>1134</v>
          </cell>
          <cell r="N222" t="str">
            <v>01 - 29 MARCH</v>
          </cell>
          <cell r="O222" t="str">
            <v>(NB20260315)_Mar_Sellout Support_RF _Asus_Select</v>
          </cell>
        </row>
        <row r="223">
          <cell r="C223" t="str">
            <v>RF E1404FA-EB2321WS</v>
          </cell>
          <cell r="E223" t="str">
            <v>E1404FA-EB2321WS</v>
          </cell>
          <cell r="F223" t="str">
            <v>90NB0ZS1-M00ZY0</v>
          </cell>
          <cell r="G223" t="str">
            <v xml:space="preserve">AMD Ryzen™ 3 7320U / 8GB DDR5 / 512GB PCIe® 3.0 SSD / 14.0-inch / 14" FHD ANTI-GLARE NON-TOUCH,250NITS,NTSC:45%,VIPS-NB(EB) /  / Cool Silver / NumberPad / Win 11 Home / OFFICE HOME 24(IN)+M365 BASIC / </v>
          </cell>
          <cell r="H223">
            <v>27992</v>
          </cell>
          <cell r="I223">
            <v>22655</v>
          </cell>
          <cell r="J223">
            <v>26592</v>
          </cell>
          <cell r="K223">
            <v>21521</v>
          </cell>
          <cell r="L223">
            <v>1400</v>
          </cell>
          <cell r="M223">
            <v>1134</v>
          </cell>
          <cell r="N223" t="str">
            <v>01 - 29 MARCH</v>
          </cell>
          <cell r="O223" t="str">
            <v>(NB20260315)_Mar_Sellout Support_RF _Asus_Select</v>
          </cell>
        </row>
        <row r="224">
          <cell r="C224" t="str">
            <v>RF E1404FA-EB2322WS</v>
          </cell>
          <cell r="E224" t="str">
            <v>E1404FA-EB2322WS</v>
          </cell>
          <cell r="F224" t="str">
            <v>90NB0ZS2-M01AV0</v>
          </cell>
          <cell r="G224" t="str">
            <v xml:space="preserve">AMD Ryzen™ 3 7320U / 8GB DDR5 / 512GB PCIe® 3.0 SSD / 14.0-inch / 14" FHD ANTI-GLARE NON-TOUCH,250NITS,NTSC:45%,VIPS-NB(EB) /  / Mixed Black / NumberPad / Win 11 Home / OFFICE HOME 24(IN)+M365 BASIC / </v>
          </cell>
          <cell r="H224">
            <v>27992</v>
          </cell>
          <cell r="I224">
            <v>22655</v>
          </cell>
          <cell r="J224">
            <v>26592</v>
          </cell>
          <cell r="K224">
            <v>21521</v>
          </cell>
          <cell r="L224">
            <v>1400</v>
          </cell>
          <cell r="M224">
            <v>1134</v>
          </cell>
          <cell r="N224" t="str">
            <v>01 - 29 MARCH</v>
          </cell>
          <cell r="O224" t="str">
            <v>(NB20260315)_Mar_Sellout Support_RF _Asus_Select</v>
          </cell>
        </row>
        <row r="225">
          <cell r="C225" t="str">
            <v>RF E1504FA-BQ2323WS</v>
          </cell>
          <cell r="E225" t="str">
            <v>E1504FA-BQ2323WS</v>
          </cell>
          <cell r="F225" t="str">
            <v>90NB0ZR3-M042T0</v>
          </cell>
          <cell r="G225" t="str">
            <v xml:space="preserve">AMD Ryzen™ 3 7320U / 8GB LPDDR5 / 512GB PCIe® 3.0 SSD / 15.6-inch / 15.6" FHD ANTI-GLARE NON-TOUCH,250NITS,NTSC:45%,VIPS-NB(BQ) /  / Grey Green /  / Win 11 Home / OFFICE HOME 24(IN)+M365 BASIC / </v>
          </cell>
          <cell r="H225">
            <v>27992</v>
          </cell>
          <cell r="I225">
            <v>22655</v>
          </cell>
          <cell r="J225">
            <v>26592</v>
          </cell>
          <cell r="K225">
            <v>21521</v>
          </cell>
          <cell r="L225">
            <v>1400</v>
          </cell>
          <cell r="M225">
            <v>1134</v>
          </cell>
          <cell r="N225" t="str">
            <v>01 - 29 MARCH</v>
          </cell>
          <cell r="O225" t="str">
            <v>(NB20260315)_Mar_Sellout Support_RF _Asus_Select</v>
          </cell>
        </row>
        <row r="226">
          <cell r="C226" t="str">
            <v>RF E1404FA-EB666WS</v>
          </cell>
          <cell r="E226" t="str">
            <v>E1404FA-EB666WS</v>
          </cell>
          <cell r="F226" t="str">
            <v>90NB0ZS3-M01CS0</v>
          </cell>
          <cell r="G226" t="str">
            <v xml:space="preserve">AMD Ryzen™ 3 7320U / 8GB DDR5 / 512GB PCIe® 3.0 SSD / 14.0-inch / 14" FHD ANTI-GLARE NON-TOUCH,250NITS,NTSC:45%,VIPS-NB(EB) /  / Grey Green / NumberPad / Win 11 Home / OFFICE HOME 24(IN)+M365 BASIC / </v>
          </cell>
          <cell r="H226">
            <v>27992</v>
          </cell>
          <cell r="I226">
            <v>22655</v>
          </cell>
          <cell r="J226">
            <v>26592</v>
          </cell>
          <cell r="K226">
            <v>21521</v>
          </cell>
          <cell r="L226">
            <v>1400</v>
          </cell>
          <cell r="M226">
            <v>1134</v>
          </cell>
          <cell r="N226" t="str">
            <v>01 - 29 MARCH</v>
          </cell>
          <cell r="O226" t="str">
            <v>(NB20260315)_Mar_Sellout Support_RF _Asus_Select</v>
          </cell>
        </row>
        <row r="227">
          <cell r="C227" t="str">
            <v>RF E1404FA-EB2323WS</v>
          </cell>
          <cell r="E227" t="str">
            <v>E1404FA-EB2323WS</v>
          </cell>
          <cell r="F227" t="str">
            <v>90NB0ZS3-M01EB0</v>
          </cell>
          <cell r="G227" t="str">
            <v xml:space="preserve">AMD Ryzen™ 3 7320U / 8GB DDR5 / 512GB PCIe® 3.0 SSD / 14.0-inch / 14" FHD ANTI-GLARE NON-TOUCH,250NITS,NTSC:45%,VIPS-NB(EB) /  / Grey Green / NumberPad / Win 11 Home / OFFICE HOME 24(IN)+M365 BASIC / </v>
          </cell>
          <cell r="H227">
            <v>27992</v>
          </cell>
          <cell r="I227">
            <v>22655</v>
          </cell>
          <cell r="J227">
            <v>26592</v>
          </cell>
          <cell r="K227">
            <v>21521</v>
          </cell>
          <cell r="L227">
            <v>1400</v>
          </cell>
          <cell r="M227">
            <v>1134</v>
          </cell>
          <cell r="N227" t="str">
            <v>01 - 29 MARCH</v>
          </cell>
          <cell r="O227" t="str">
            <v>(NB20260315)_Mar_Sellout Support_RF _Asus_Select</v>
          </cell>
        </row>
        <row r="228">
          <cell r="C228" t="str">
            <v>RF KM413UA-EB503TS</v>
          </cell>
          <cell r="E228" t="str">
            <v>KM413UA-EB503TS</v>
          </cell>
          <cell r="F228" t="str">
            <v>90NB0TMB-M00910</v>
          </cell>
          <cell r="G228" t="str">
            <v>R5-5500U//8G/512G PCIe SSD/TRANSPARENT SILVER/14.0"FHD/1Y international warranty//Finger Print/BK KB/MS Office</v>
          </cell>
          <cell r="H228">
            <v>28693</v>
          </cell>
          <cell r="I228">
            <v>23222</v>
          </cell>
          <cell r="J228">
            <v>26593</v>
          </cell>
          <cell r="K228">
            <v>21522</v>
          </cell>
          <cell r="L228">
            <v>2100</v>
          </cell>
          <cell r="M228">
            <v>1700</v>
          </cell>
          <cell r="N228" t="str">
            <v>01 - 29 MARCH</v>
          </cell>
          <cell r="O228" t="str">
            <v>(NB20260315)_Mar_Sellout Support_RF _Asus_Select</v>
          </cell>
        </row>
        <row r="229">
          <cell r="C229" t="str">
            <v>RF KM513UA-L512WS</v>
          </cell>
          <cell r="E229" t="str">
            <v>KM513UA-L512WS</v>
          </cell>
          <cell r="F229" t="str">
            <v>90NB0TP1-M07540</v>
          </cell>
          <cell r="G229" t="str">
            <v xml:space="preserve">AMD Ryzen™ 5 5500U /  /  / 8GB DDR4  + 8GB DDR4  / 512GB PCIe® 3.0 SSD / 15.6-inch / FHD (1920 x 1080) OLED 16:9  /  / Indie Black /  /  / FingerPrint / Backlit KB / Win 11 Home / MS Office / </v>
          </cell>
          <cell r="H229">
            <v>33593</v>
          </cell>
          <cell r="I229">
            <v>27188</v>
          </cell>
          <cell r="J229">
            <v>26593</v>
          </cell>
          <cell r="K229">
            <v>21522</v>
          </cell>
          <cell r="L229">
            <v>7000</v>
          </cell>
          <cell r="M229">
            <v>5666</v>
          </cell>
          <cell r="N229" t="str">
            <v>01 - 29 MARCH</v>
          </cell>
          <cell r="O229" t="str">
            <v>(NB20260315)_Mar_Sellout Support_RF _Asus_Select</v>
          </cell>
        </row>
        <row r="230">
          <cell r="C230" t="str">
            <v>RF KM513UA-L513WS</v>
          </cell>
          <cell r="E230" t="str">
            <v>KM513UA-L513WS</v>
          </cell>
          <cell r="F230" t="str">
            <v>90NB0TP2-M07550</v>
          </cell>
          <cell r="G230" t="str">
            <v xml:space="preserve">R5 5500U /  / 16GB / 512GB SSD / Transparent Silver / 15.6-inch / FHD OLED  / 1Y International Warranty / McAfee / Win 11 / Office H&amp;S 2021 / FingerPrint / Backlit KB /  / </v>
          </cell>
          <cell r="H230">
            <v>33593</v>
          </cell>
          <cell r="I230">
            <v>27188</v>
          </cell>
          <cell r="J230">
            <v>26593</v>
          </cell>
          <cell r="K230">
            <v>21522</v>
          </cell>
          <cell r="L230">
            <v>7000</v>
          </cell>
          <cell r="M230">
            <v>5666</v>
          </cell>
          <cell r="N230" t="str">
            <v>01 - 29 MARCH</v>
          </cell>
          <cell r="O230" t="str">
            <v>(NB20260315)_Mar_Sellout Support_RF _Asus_Select</v>
          </cell>
        </row>
        <row r="231">
          <cell r="C231" t="str">
            <v>RF K513EA-L703TS</v>
          </cell>
          <cell r="E231" t="str">
            <v>K513EA-L703TS</v>
          </cell>
          <cell r="F231" t="str">
            <v>90NB0SG2-M34190</v>
          </cell>
          <cell r="G231" t="str">
            <v>i7-1165G7//8G/1+256G PCIe/TRANSPARENT SILVER/15.6"FHD OLED/1Y international warranty + McAfee/Office H&amp;S/Backlit KB/Finger Print</v>
          </cell>
          <cell r="H231">
            <v>29394</v>
          </cell>
          <cell r="I231">
            <v>23789</v>
          </cell>
          <cell r="J231">
            <v>26594</v>
          </cell>
          <cell r="K231">
            <v>21523</v>
          </cell>
          <cell r="L231">
            <v>2800</v>
          </cell>
          <cell r="M231">
            <v>2266</v>
          </cell>
          <cell r="N231" t="str">
            <v>01 - 29 MARCH</v>
          </cell>
          <cell r="O231" t="str">
            <v>(NB20260315)_Mar_Sellout Support_RF _Asus_Select</v>
          </cell>
        </row>
        <row r="232">
          <cell r="C232" t="str">
            <v>RF M513IA-EJ310T</v>
          </cell>
          <cell r="E232" t="str">
            <v>M513IA-EJ310T</v>
          </cell>
          <cell r="F232" t="str">
            <v>90NB0RR4-M04250</v>
          </cell>
          <cell r="G232" t="str">
            <v>R5-4500U//8G/512G PCIe SSD/BESPOKE BLACK/15.6"FHD/1Y international warranty//Finger Print/BK KB</v>
          </cell>
          <cell r="H232">
            <v>31194</v>
          </cell>
          <cell r="I232">
            <v>25246</v>
          </cell>
          <cell r="J232">
            <v>26994</v>
          </cell>
          <cell r="K232">
            <v>21847</v>
          </cell>
          <cell r="L232">
            <v>4200</v>
          </cell>
          <cell r="M232">
            <v>3399</v>
          </cell>
          <cell r="N232" t="str">
            <v>01 - 29 MARCH</v>
          </cell>
          <cell r="O232" t="str">
            <v>(NB20260315)_Mar_Sellout Support_RF _Asus_Select</v>
          </cell>
        </row>
        <row r="233">
          <cell r="C233" t="str">
            <v>RF UX425EA-KI501TS</v>
          </cell>
          <cell r="E233" t="str">
            <v>UX425EA-KI501TS</v>
          </cell>
          <cell r="F233" t="str">
            <v>90NB0SM1-M10020</v>
          </cell>
          <cell r="G233" t="str">
            <v>i5-1135G7//8G/512G PCIe SSD/PINE GREY/14.0"FHD IPS/1Y international warranty/Office H&amp;S/NUMPAD/Zenbook Sleeve/Audio Jack Dongle</v>
          </cell>
          <cell r="H233">
            <v>30594</v>
          </cell>
          <cell r="I233">
            <v>24760</v>
          </cell>
          <cell r="J233">
            <v>27024</v>
          </cell>
          <cell r="K233">
            <v>21871</v>
          </cell>
          <cell r="L233">
            <v>3570</v>
          </cell>
          <cell r="M233">
            <v>2889</v>
          </cell>
          <cell r="N233" t="str">
            <v>01 - 29 MARCH</v>
          </cell>
          <cell r="O233" t="str">
            <v>(NB20260315)_Mar_Sellout Support_RF _Asus_Select</v>
          </cell>
        </row>
        <row r="234">
          <cell r="C234" t="str">
            <v>RF X513EA-BQ702TS</v>
          </cell>
          <cell r="E234" t="str">
            <v>X513EA-BQ702TS</v>
          </cell>
          <cell r="F234" t="str">
            <v>90NB0SG4-M05870</v>
          </cell>
          <cell r="G234" t="str">
            <v>i7-1165G7//8G/512G PCIe SSD/BESPOKE BLACK/15.6"FHD vIPS/1Y international warranty + McAfee/Office H&amp;S/Finger Print/Backlit KB</v>
          </cell>
          <cell r="H234">
            <v>30594</v>
          </cell>
          <cell r="I234">
            <v>24760</v>
          </cell>
          <cell r="J234">
            <v>27024</v>
          </cell>
          <cell r="K234">
            <v>21871</v>
          </cell>
          <cell r="L234">
            <v>3570</v>
          </cell>
          <cell r="M234">
            <v>2889</v>
          </cell>
          <cell r="N234" t="str">
            <v>01 - 29 MARCH</v>
          </cell>
          <cell r="O234" t="str">
            <v>(NB20260315)_Mar_Sellout Support_RF _Asus_Select</v>
          </cell>
        </row>
        <row r="235">
          <cell r="C235" t="str">
            <v>RF K413EA-EB523WS</v>
          </cell>
          <cell r="E235" t="str">
            <v>K413EA-EB523WS</v>
          </cell>
          <cell r="F235" t="str">
            <v>90NB0RLB-M006U0</v>
          </cell>
          <cell r="G235" t="str">
            <v xml:space="preserve">i5 1135G7 /  / 16GB / 512GB SSD / Transparent Silver / 14.0-inch / FHD v_IPS / 1Y International Warranty / McAfee / Win 11 / Office H&amp;S 2021 / FingerPrint / Backlit KB /  / </v>
          </cell>
          <cell r="H235">
            <v>30093</v>
          </cell>
          <cell r="I235">
            <v>24355</v>
          </cell>
          <cell r="J235">
            <v>27083</v>
          </cell>
          <cell r="K235">
            <v>21919</v>
          </cell>
          <cell r="L235">
            <v>3010</v>
          </cell>
          <cell r="M235">
            <v>2436</v>
          </cell>
          <cell r="N235" t="str">
            <v>01 - 29 MARCH</v>
          </cell>
          <cell r="O235" t="str">
            <v>(NB20260315)_Mar_Sellout Support_RF _Asus_Select</v>
          </cell>
        </row>
        <row r="236">
          <cell r="C236" t="str">
            <v>RF K513EA-BQ563TS</v>
          </cell>
          <cell r="E236" t="str">
            <v>K513EA-BQ563TS</v>
          </cell>
          <cell r="F236" t="str">
            <v>90NB0SG2-M05750</v>
          </cell>
          <cell r="G236" t="str">
            <v>i5-1135G7//16G/1T+256G PCIe SSD/TRANSPARENT SILVER/15.6"FHD vIPS/1Y international warranty/Office H&amp;S/Backlit KB/Finger Print</v>
          </cell>
          <cell r="H236">
            <v>30093</v>
          </cell>
          <cell r="I236">
            <v>24355</v>
          </cell>
          <cell r="J236">
            <v>27083</v>
          </cell>
          <cell r="K236">
            <v>21919</v>
          </cell>
          <cell r="L236">
            <v>3010</v>
          </cell>
          <cell r="M236">
            <v>2436</v>
          </cell>
          <cell r="N236" t="str">
            <v>01 - 29 MARCH</v>
          </cell>
          <cell r="O236" t="str">
            <v>(NB20260315)_Mar_Sellout Support_RF _Asus_Select</v>
          </cell>
        </row>
        <row r="237">
          <cell r="C237" t="str">
            <v>RF X515EA-EJ542WS</v>
          </cell>
          <cell r="E237" t="str">
            <v>X515EA-EJ542WS</v>
          </cell>
          <cell r="F237" t="str">
            <v>90NB0TY2-M04BV0</v>
          </cell>
          <cell r="G237" t="str">
            <v xml:space="preserve">Intel® Core™ i5-1135G7 /  /  / 16GB (8*2) DDR4 / 512GB PCIe® 3.0 SSD / 15.6-inch / FHD (1920 x 1080) 16:9  /  / Transparent Silver /  / Win 11 Home / MS Office / </v>
          </cell>
          <cell r="H237">
            <v>30093</v>
          </cell>
          <cell r="I237">
            <v>24355</v>
          </cell>
          <cell r="J237">
            <v>27083</v>
          </cell>
          <cell r="K237">
            <v>21919</v>
          </cell>
          <cell r="L237">
            <v>3010</v>
          </cell>
          <cell r="M237">
            <v>2436</v>
          </cell>
          <cell r="N237" t="str">
            <v>01 - 29 MARCH</v>
          </cell>
          <cell r="O237" t="str">
            <v>(NB20260315)_Mar_Sellout Support_RF _Asus_Select</v>
          </cell>
        </row>
        <row r="238">
          <cell r="C238" t="str">
            <v>RF X712EA-AU521TS</v>
          </cell>
          <cell r="E238" t="str">
            <v>X712EA-AU521TS</v>
          </cell>
          <cell r="F238" t="str">
            <v>90NB0TW1-M04520</v>
          </cell>
          <cell r="G238" t="str">
            <v>i5-1135G7//16G/512 PCIe SSD/TRANSPARENT SILVER/17.3"FHD/1Y international warranty + McAfee/Office H&amp;S/Finger Print/Backlit KB</v>
          </cell>
          <cell r="H238">
            <v>30093</v>
          </cell>
          <cell r="I238">
            <v>24355</v>
          </cell>
          <cell r="J238">
            <v>27083</v>
          </cell>
          <cell r="K238">
            <v>21919</v>
          </cell>
          <cell r="L238">
            <v>3010</v>
          </cell>
          <cell r="M238">
            <v>2436</v>
          </cell>
          <cell r="N238" t="str">
            <v>01 - 29 MARCH</v>
          </cell>
          <cell r="O238" t="str">
            <v>(NB20260315)_Mar_Sellout Support_RF _Asus_Select</v>
          </cell>
        </row>
        <row r="239">
          <cell r="C239" t="str">
            <v>RF X712EA-AU521WS</v>
          </cell>
          <cell r="E239" t="str">
            <v>X712EA-AU521WS</v>
          </cell>
          <cell r="F239" t="str">
            <v>90NB0TW1-M006S0</v>
          </cell>
          <cell r="G239" t="str">
            <v>i5-1135G7//16G/512 PCIe SSD/TRANSPARENT SILVER/17.3"FHD/1Y international warranty + McAfee/Office H&amp;S/Finger Print/Backlit KB/Win 11</v>
          </cell>
          <cell r="H239">
            <v>30093</v>
          </cell>
          <cell r="I239">
            <v>24355</v>
          </cell>
          <cell r="J239">
            <v>27083</v>
          </cell>
          <cell r="K239">
            <v>21919</v>
          </cell>
          <cell r="L239">
            <v>3010</v>
          </cell>
          <cell r="M239">
            <v>2436</v>
          </cell>
          <cell r="N239" t="str">
            <v>01 - 29 MARCH</v>
          </cell>
          <cell r="O239" t="str">
            <v>(NB20260315)_Mar_Sellout Support_RF _Asus_Select</v>
          </cell>
        </row>
        <row r="240">
          <cell r="C240" t="str">
            <v>RF X513EA-BQ703TS</v>
          </cell>
          <cell r="E240" t="str">
            <v>X513EA-BQ703TS</v>
          </cell>
          <cell r="F240" t="str">
            <v>90NB0SG5-M05880</v>
          </cell>
          <cell r="G240" t="str">
            <v>i7-1165G7//8G/512G PCIe SSD/DREAMY WHITE/15.6"FHD vIPS/1Y international warranty + McAfee/Office H&amp;S/Finger Print/Backlit KB</v>
          </cell>
          <cell r="H240">
            <v>30594</v>
          </cell>
          <cell r="I240">
            <v>24760</v>
          </cell>
          <cell r="J240">
            <v>27094</v>
          </cell>
          <cell r="K240">
            <v>21928</v>
          </cell>
          <cell r="L240">
            <v>3500</v>
          </cell>
          <cell r="M240">
            <v>2832</v>
          </cell>
          <cell r="N240" t="str">
            <v>01 - 29 MARCH</v>
          </cell>
          <cell r="O240" t="str">
            <v>(NB20260315)_Mar_Sellout Support_RF _Asus_Select</v>
          </cell>
        </row>
        <row r="241">
          <cell r="C241" t="str">
            <v>RF TP470EZ-EC033TS</v>
          </cell>
          <cell r="E241" t="str">
            <v>TP470EZ-EC033TS</v>
          </cell>
          <cell r="F241" t="str">
            <v>90NB0S12-M00700</v>
          </cell>
          <cell r="G241" t="str">
            <v>i5-1135G7/4G Iris Xe Max discrete GPU/8G/512G PCIe SSD/TRANSPARENT SILVER/14.0"FHD/1Y international warranty + McAfee/Office H&amp;S/Stylus/Finger Print</v>
          </cell>
          <cell r="H241">
            <v>31194</v>
          </cell>
          <cell r="I241">
            <v>25246</v>
          </cell>
          <cell r="J241">
            <v>27554</v>
          </cell>
          <cell r="K241">
            <v>22300</v>
          </cell>
          <cell r="L241">
            <v>3640</v>
          </cell>
          <cell r="M241">
            <v>2946</v>
          </cell>
          <cell r="N241" t="str">
            <v>01 - 29 MARCH</v>
          </cell>
          <cell r="O241" t="str">
            <v>(NB20260315)_Mar_Sellout Support_RF _Asus_Select</v>
          </cell>
        </row>
        <row r="242">
          <cell r="C242" t="str">
            <v>RF X1502ZA-EJ993WS</v>
          </cell>
          <cell r="E242" t="str">
            <v>X1502ZA-EJ993WS</v>
          </cell>
          <cell r="F242" t="str">
            <v>90NB0VX2-M02HB0</v>
          </cell>
          <cell r="G242" t="str">
            <v xml:space="preserve">Intel®Core™ i3-1215U /  /  / 16GB DDR4  / 512GB PCIe® 3.0 SSD / 15.6-inch / FHD (1920 x 1080) 16:9  /  / Icelight Silver /  /  / FingerPrint /  / Win 11 Home / MS Office / </v>
          </cell>
          <cell r="H242">
            <v>31192</v>
          </cell>
          <cell r="I242">
            <v>25244</v>
          </cell>
          <cell r="J242">
            <v>27692</v>
          </cell>
          <cell r="K242">
            <v>22412</v>
          </cell>
          <cell r="L242">
            <v>3500</v>
          </cell>
          <cell r="M242">
            <v>2832</v>
          </cell>
          <cell r="N242" t="str">
            <v>01 - 29 MARCH</v>
          </cell>
          <cell r="O242" t="str">
            <v>(NB20260315)_Mar_Sellout Support_RF _Asus_Select</v>
          </cell>
        </row>
        <row r="243">
          <cell r="C243" t="str">
            <v>RF X1400EA-EK543WS</v>
          </cell>
          <cell r="E243" t="str">
            <v>X1400EA-EK543WS</v>
          </cell>
          <cell r="F243" t="str">
            <v>90NB0TT4-M01UP0</v>
          </cell>
          <cell r="G243" t="str">
            <v xml:space="preserve">Intel® Core™ i5-1135G7 / 16GB DDR4 / 512GB PCIe® 3.0 SSD / 14.0-inch / FHD (1920 x 1080) 16:9  /  / Black /  / Win 11 Home / MS Office / </v>
          </cell>
          <cell r="H243">
            <v>30793</v>
          </cell>
          <cell r="I243">
            <v>24921</v>
          </cell>
          <cell r="J243">
            <v>27713</v>
          </cell>
          <cell r="K243">
            <v>22429</v>
          </cell>
          <cell r="L243">
            <v>3080</v>
          </cell>
          <cell r="M243">
            <v>2492</v>
          </cell>
          <cell r="N243" t="str">
            <v>01 - 29 MARCH</v>
          </cell>
          <cell r="O243" t="str">
            <v>(NB20260315)_Mar_Sellout Support_RF _Asus_Select</v>
          </cell>
        </row>
        <row r="244">
          <cell r="C244" t="str">
            <v>RF X515EA-EZ501WS</v>
          </cell>
          <cell r="E244" t="str">
            <v>X515EA-EZ501WS</v>
          </cell>
          <cell r="F244" t="str">
            <v>90NB0TY1-M01N30</v>
          </cell>
          <cell r="G244" t="str">
            <v>i5 1135G7 /  / 8GB DDR4 / 512GB SSD / 15.6-inch FHD IPS Touch /  / FingerPrint /  / Slate Grey / Win 11 / MS Office</v>
          </cell>
          <cell r="H244">
            <v>30793</v>
          </cell>
          <cell r="I244">
            <v>24921</v>
          </cell>
          <cell r="J244">
            <v>27713</v>
          </cell>
          <cell r="K244">
            <v>22429</v>
          </cell>
          <cell r="L244">
            <v>3080</v>
          </cell>
          <cell r="M244">
            <v>2492</v>
          </cell>
          <cell r="N244" t="str">
            <v>01 - 29 MARCH</v>
          </cell>
          <cell r="O244" t="str">
            <v>(NB20260315)_Mar_Sellout Support_RF _Asus_Select</v>
          </cell>
        </row>
        <row r="245">
          <cell r="C245" t="str">
            <v>RF X515EP-EJ512TS</v>
          </cell>
          <cell r="E245" t="str">
            <v>X515EP-EJ512TS</v>
          </cell>
          <cell r="F245" t="str">
            <v>90NB0TZ2-M00860</v>
          </cell>
          <cell r="G245" t="str">
            <v>i5-1135G7/MX330/8G/1T+256G PCIe SSD/TRANSPARENT SILVER/15.6"FHD/1Y international warranty + McAfee/Office H&amp;S/Finger Print/</v>
          </cell>
          <cell r="H245">
            <v>30793</v>
          </cell>
          <cell r="I245">
            <v>24921</v>
          </cell>
          <cell r="J245">
            <v>27713</v>
          </cell>
          <cell r="K245">
            <v>22429</v>
          </cell>
          <cell r="L245">
            <v>3080</v>
          </cell>
          <cell r="M245">
            <v>2492</v>
          </cell>
          <cell r="N245" t="str">
            <v>01 - 29 MARCH</v>
          </cell>
          <cell r="O245" t="str">
            <v>(NB20260315)_Mar_Sellout Support_RF _Asus_Select</v>
          </cell>
        </row>
        <row r="246">
          <cell r="C246" t="str">
            <v>RF X712EA-AU511TS</v>
          </cell>
          <cell r="E246" t="str">
            <v>X712EA-AU511TS</v>
          </cell>
          <cell r="F246" t="str">
            <v>90NB0TW1-M04370</v>
          </cell>
          <cell r="G246" t="str">
            <v>i5-1135G7//16G/1T+256G PCIe SSD/TRANSPARENT SILVER/17.3"FHD/1Y international warranty + McAfee/Office H&amp;S/Finger Print/Backlit KB</v>
          </cell>
          <cell r="H246">
            <v>30793</v>
          </cell>
          <cell r="I246">
            <v>24921</v>
          </cell>
          <cell r="J246">
            <v>27713</v>
          </cell>
          <cell r="K246">
            <v>22429</v>
          </cell>
          <cell r="L246">
            <v>3080</v>
          </cell>
          <cell r="M246">
            <v>2492</v>
          </cell>
          <cell r="N246" t="str">
            <v>01 - 29 MARCH</v>
          </cell>
          <cell r="O246" t="str">
            <v>(NB20260315)_Mar_Sellout Support_RF _Asus_Select</v>
          </cell>
        </row>
        <row r="247">
          <cell r="C247" t="str">
            <v>RF X1504ZA-NJ341WS</v>
          </cell>
          <cell r="E247" t="str">
            <v>X1504ZA-NJ341WS</v>
          </cell>
          <cell r="F247" t="str">
            <v>90NB1021-M028J0</v>
          </cell>
          <cell r="G247" t="str">
            <v xml:space="preserve">Intel®Core™ i3-1215U / 16GB DDR4  / 512GB PCIe® 3.0 SSD / 15.6-inch / FHD (1920 x 1080) 16:9  /  / Quiet Blue / Backlit KB / Win 11 Home / MS Office / </v>
          </cell>
          <cell r="H247">
            <v>31992</v>
          </cell>
          <cell r="I247">
            <v>25892</v>
          </cell>
          <cell r="J247">
            <v>27792</v>
          </cell>
          <cell r="K247">
            <v>22493</v>
          </cell>
          <cell r="L247">
            <v>4200</v>
          </cell>
          <cell r="M247">
            <v>3399</v>
          </cell>
          <cell r="N247" t="str">
            <v>01 - 29 MARCH</v>
          </cell>
          <cell r="O247" t="str">
            <v>(NB20260315)_Mar_Sellout Support_RF _Asus_Select</v>
          </cell>
        </row>
        <row r="248">
          <cell r="C248" t="str">
            <v>RF X1504ZA-NJ342WS</v>
          </cell>
          <cell r="E248" t="str">
            <v>X1504ZA-NJ342WS</v>
          </cell>
          <cell r="F248" t="str">
            <v>90NB1022-M029K0</v>
          </cell>
          <cell r="G248" t="str">
            <v xml:space="preserve">Intel®Core™ i3-1215U / 16GB DDR4  / 512GB PCIe® 3.0 SSD / 15.6-inch / FHD (1920 x 1080) 16:9  /  / Cool Silver / Backlit KB / Win 11 Home / MS Office / </v>
          </cell>
          <cell r="H248">
            <v>31992</v>
          </cell>
          <cell r="I248">
            <v>25892</v>
          </cell>
          <cell r="J248">
            <v>27792</v>
          </cell>
          <cell r="K248">
            <v>22493</v>
          </cell>
          <cell r="L248">
            <v>4200</v>
          </cell>
          <cell r="M248">
            <v>3399</v>
          </cell>
          <cell r="N248" t="str">
            <v>01 - 29 MARCH</v>
          </cell>
          <cell r="O248" t="str">
            <v>(NB20260315)_Mar_Sellout Support_RF _Asus_Select</v>
          </cell>
        </row>
        <row r="249">
          <cell r="C249" t="str">
            <v>RF UX362FA-EL501T</v>
          </cell>
          <cell r="E249" t="str">
            <v>UX362FA-EL501T</v>
          </cell>
          <cell r="F249" t="str">
            <v>90NB0JC2-M06580</v>
          </cell>
          <cell r="G249" t="str">
            <v>i5-8265U/UMA/8G/512G PCIe SSD/ROYAL BLUE/13.0"FHD IPS TOUCH/1Y</v>
          </cell>
          <cell r="H249">
            <v>32495</v>
          </cell>
          <cell r="I249">
            <v>26299</v>
          </cell>
          <cell r="J249">
            <v>27945</v>
          </cell>
          <cell r="K249">
            <v>22617</v>
          </cell>
          <cell r="L249">
            <v>4550</v>
          </cell>
          <cell r="M249">
            <v>3682</v>
          </cell>
          <cell r="N249" t="str">
            <v>01 - 29 MARCH</v>
          </cell>
          <cell r="O249" t="str">
            <v>(NB20260315)_Mar_Sellout Support_RF _Asus_Select</v>
          </cell>
        </row>
        <row r="250">
          <cell r="C250" t="str">
            <v>RF K513EA-L503WS</v>
          </cell>
          <cell r="E250" t="str">
            <v>K513EA-L503WS</v>
          </cell>
          <cell r="F250" t="str">
            <v>90NB0SG2-M43740</v>
          </cell>
          <cell r="G250" t="str">
            <v>i5-1135G7//8G/1+256G PCIe/TRANSPARENT SILVER/15.6"FHD OLED/1Y international warranty + McAfee/Win 11 + Office H&amp;S/Backlit KB/Finger Print</v>
          </cell>
          <cell r="H250">
            <v>31493</v>
          </cell>
          <cell r="I250">
            <v>25488</v>
          </cell>
          <cell r="J250">
            <v>27993</v>
          </cell>
          <cell r="K250">
            <v>22655</v>
          </cell>
          <cell r="L250">
            <v>3500</v>
          </cell>
          <cell r="M250">
            <v>2833</v>
          </cell>
          <cell r="N250" t="str">
            <v>01 - 29 MARCH</v>
          </cell>
          <cell r="O250" t="str">
            <v>(NB20260315)_Mar_Sellout Support_RF _Asus_Select</v>
          </cell>
        </row>
        <row r="251">
          <cell r="C251" t="str">
            <v>RF KM513UA-BQ512TS</v>
          </cell>
          <cell r="E251" t="str">
            <v>KM513UA-BQ512TS</v>
          </cell>
          <cell r="F251" t="str">
            <v>90NB0TP1-M00690</v>
          </cell>
          <cell r="G251" t="str">
            <v>R5-5500U//8G/1TB HDD+256G PCIe SSD/INDIE BLACK/15.6"FHD/1Y international warranty//Finger Print/BK KB</v>
          </cell>
          <cell r="H251">
            <v>30793</v>
          </cell>
          <cell r="I251">
            <v>24921</v>
          </cell>
          <cell r="J251">
            <v>27993</v>
          </cell>
          <cell r="K251">
            <v>22655</v>
          </cell>
          <cell r="L251">
            <v>2800</v>
          </cell>
          <cell r="M251">
            <v>2266</v>
          </cell>
          <cell r="N251" t="str">
            <v>01 - 29 MARCH</v>
          </cell>
          <cell r="O251" t="str">
            <v>(NB20260315)_Mar_Sellout Support_RF _Asus_Select</v>
          </cell>
        </row>
        <row r="252">
          <cell r="C252" t="str">
            <v>RF KM513UA-BQ713TS</v>
          </cell>
          <cell r="E252" t="str">
            <v>KM513UA-BQ713TS</v>
          </cell>
          <cell r="F252" t="str">
            <v>90NB0TP2-M00730</v>
          </cell>
          <cell r="G252" t="str">
            <v>R7-5700U//8G/1TB HDD+256G PCIe SSD/TRANSPERANT SILVER/15.6"FHD/1Y international warranty//Finger Print/BK KB</v>
          </cell>
          <cell r="H252">
            <v>34993</v>
          </cell>
          <cell r="I252">
            <v>28321</v>
          </cell>
          <cell r="J252">
            <v>27993</v>
          </cell>
          <cell r="K252">
            <v>22655</v>
          </cell>
          <cell r="L252">
            <v>7000</v>
          </cell>
          <cell r="M252">
            <v>5666</v>
          </cell>
          <cell r="N252" t="str">
            <v>01 - 29 MARCH</v>
          </cell>
          <cell r="O252" t="str">
            <v>(NB20260315)_Mar_Sellout Support_RF _Asus_Select</v>
          </cell>
        </row>
        <row r="253">
          <cell r="C253" t="str">
            <v>RF KM513UA-L502WS</v>
          </cell>
          <cell r="E253" t="str">
            <v>KM513UA-L502WS</v>
          </cell>
          <cell r="F253" t="str">
            <v>90NB0TP1-M07570</v>
          </cell>
          <cell r="G253" t="str">
            <v>R5-5500U//8G/1TB HDD+256G PCIe SSD/INDIE BLACK/15.6"FHD OLED/1Y international warranty + McAfee/Win 11 + Office H&amp;S/Backlit KB/Finger Print</v>
          </cell>
          <cell r="H253">
            <v>30793</v>
          </cell>
          <cell r="I253">
            <v>24921</v>
          </cell>
          <cell r="J253">
            <v>27993</v>
          </cell>
          <cell r="K253">
            <v>22655</v>
          </cell>
          <cell r="L253">
            <v>2800</v>
          </cell>
          <cell r="M253">
            <v>2266</v>
          </cell>
          <cell r="N253" t="str">
            <v>01 - 29 MARCH</v>
          </cell>
          <cell r="O253" t="str">
            <v>(NB20260315)_Mar_Sellout Support_RF _Asus_Select</v>
          </cell>
        </row>
        <row r="254">
          <cell r="C254" t="str">
            <v>RF KM513UA-L503TS</v>
          </cell>
          <cell r="E254" t="str">
            <v>KM513UA-L503TS</v>
          </cell>
          <cell r="F254" t="str">
            <v>90NB0TP2-M03280</v>
          </cell>
          <cell r="G254" t="str">
            <v>R5-5500U//8G/1TB HDD+256G PCIe SSD/TRANSPARENT SILVER/15.6"FHD OLED/1Y international warranty + McAfee/Office H&amp;S/Backlit KB/Finger Print</v>
          </cell>
          <cell r="H254">
            <v>30793</v>
          </cell>
          <cell r="I254">
            <v>24921</v>
          </cell>
          <cell r="J254">
            <v>27993</v>
          </cell>
          <cell r="K254">
            <v>22655</v>
          </cell>
          <cell r="L254">
            <v>2800</v>
          </cell>
          <cell r="M254">
            <v>2266</v>
          </cell>
          <cell r="N254" t="str">
            <v>01 - 29 MARCH</v>
          </cell>
          <cell r="O254" t="str">
            <v>(NB20260315)_Mar_Sellout Support_RF _Asus_Select</v>
          </cell>
        </row>
        <row r="255">
          <cell r="C255" t="str">
            <v>RF KM513UA-L503WS</v>
          </cell>
          <cell r="E255" t="str">
            <v>KM513UA-L503WS</v>
          </cell>
          <cell r="F255" t="str">
            <v>90NB0TP2-M07580</v>
          </cell>
          <cell r="G255" t="str">
            <v>R5-5500U//8G/1TB HDD+256G PCIe SSD/TRANSPARENT SILVER/15.6"FHD OLED/1Y international warranty + McAfee/Win 11 + Office H&amp;S/Backlit KB/Finger Print</v>
          </cell>
          <cell r="H255">
            <v>30793</v>
          </cell>
          <cell r="I255">
            <v>24921</v>
          </cell>
          <cell r="J255">
            <v>27993</v>
          </cell>
          <cell r="K255">
            <v>22655</v>
          </cell>
          <cell r="L255">
            <v>2800</v>
          </cell>
          <cell r="M255">
            <v>2266</v>
          </cell>
          <cell r="N255" t="str">
            <v>01 - 29 MARCH</v>
          </cell>
          <cell r="O255" t="str">
            <v>(NB20260315)_Mar_Sellout Support_RF _Asus_Select</v>
          </cell>
        </row>
        <row r="256">
          <cell r="C256" t="str">
            <v>RF M1502QA-EJ742WS</v>
          </cell>
          <cell r="E256" t="str">
            <v>M1502QA-EJ742WS</v>
          </cell>
          <cell r="F256" t="str">
            <v>90NB1262-M004H0</v>
          </cell>
          <cell r="G256" t="str">
            <v xml:space="preserve">AMD Ryzen™ 7 5800HS /  /  / 16GB DDR4  / 512GB PCIe® 3.0 SSD / 15.6-inch / FHD (1920 x 1080) 16:9  /  / Transparent Silver /  / Win 11 Home / MS Office / </v>
          </cell>
          <cell r="H256">
            <v>34993</v>
          </cell>
          <cell r="I256">
            <v>28321</v>
          </cell>
          <cell r="J256">
            <v>27993</v>
          </cell>
          <cell r="K256">
            <v>22655</v>
          </cell>
          <cell r="L256">
            <v>7000</v>
          </cell>
          <cell r="M256">
            <v>5666</v>
          </cell>
          <cell r="N256" t="str">
            <v>01 - 29 MARCH</v>
          </cell>
          <cell r="O256" t="str">
            <v>(NB20260315)_Mar_Sellout Support_RF _Asus_Select</v>
          </cell>
        </row>
        <row r="257">
          <cell r="C257" t="str">
            <v>RF M712UA-AU501TS</v>
          </cell>
          <cell r="E257" t="str">
            <v>M712UA-AU501TS</v>
          </cell>
          <cell r="F257" t="str">
            <v>90NB0TX1-M00610</v>
          </cell>
          <cell r="G257" t="str">
            <v>R5-5500U//8G/1T+256G PCIe SSD/TRANSPARENT SILVER/17.3"FHD/1Y international warranty/Office H&amp;S+MACAFEE/Backlit KB</v>
          </cell>
          <cell r="H257">
            <v>30093</v>
          </cell>
          <cell r="I257">
            <v>24355</v>
          </cell>
          <cell r="J257">
            <v>27993</v>
          </cell>
          <cell r="K257">
            <v>22655</v>
          </cell>
          <cell r="L257">
            <v>2100</v>
          </cell>
          <cell r="M257">
            <v>1700</v>
          </cell>
          <cell r="N257" t="str">
            <v>01 - 29 MARCH</v>
          </cell>
          <cell r="O257" t="str">
            <v>(NB20260315)_Mar_Sellout Support_RF _Asus_Select</v>
          </cell>
        </row>
        <row r="258">
          <cell r="C258" t="str">
            <v>RF X1502ZA-BQ501WS</v>
          </cell>
          <cell r="E258" t="str">
            <v>X1502ZA-BQ501WS</v>
          </cell>
          <cell r="F258" t="str">
            <v>90NB0VX2-M009P0</v>
          </cell>
          <cell r="G258" t="str">
            <v xml:space="preserve">Intel® Core™ i5-1240P /  / 8GB DDR4 / 512GB SSD / 15.6-inch / FHD  /  / Transparent Silver /  / FingerPrint / 42WHrs battery /  /  / MS Office  / </v>
          </cell>
          <cell r="H258">
            <v>32893</v>
          </cell>
          <cell r="I258">
            <v>26621</v>
          </cell>
          <cell r="J258">
            <v>27993</v>
          </cell>
          <cell r="K258">
            <v>22655</v>
          </cell>
          <cell r="L258">
            <v>4900</v>
          </cell>
          <cell r="M258">
            <v>3966</v>
          </cell>
          <cell r="N258" t="str">
            <v>01 - 29 MARCH</v>
          </cell>
          <cell r="O258" t="str">
            <v>(NB20260315)_Mar_Sellout Support_RF _Asus_Select</v>
          </cell>
        </row>
        <row r="259">
          <cell r="C259" t="str">
            <v>RF X1502ZA-BQ502WS</v>
          </cell>
          <cell r="E259" t="str">
            <v>X1502ZA-BQ502WS</v>
          </cell>
          <cell r="F259" t="str">
            <v>90NB0VX1-M009R0</v>
          </cell>
          <cell r="G259" t="str">
            <v xml:space="preserve">Intel® Core™ i5-1240P /  / 8GB DDR4 / 512GB SSD / 15.6-inch / FHD  /  / Quiet Blue /  / FingerPrint / 42WHrs battery /  /  / MS Office  / </v>
          </cell>
          <cell r="H259">
            <v>32893</v>
          </cell>
          <cell r="I259">
            <v>26621</v>
          </cell>
          <cell r="J259">
            <v>27993</v>
          </cell>
          <cell r="K259">
            <v>22655</v>
          </cell>
          <cell r="L259">
            <v>4900</v>
          </cell>
          <cell r="M259">
            <v>3966</v>
          </cell>
          <cell r="N259" t="str">
            <v>01 - 29 MARCH</v>
          </cell>
          <cell r="O259" t="str">
            <v>(NB20260315)_Mar_Sellout Support_RF _Asus_Select</v>
          </cell>
        </row>
        <row r="260">
          <cell r="C260" t="str">
            <v>RF X1502ZA-EJ502WS</v>
          </cell>
          <cell r="E260" t="str">
            <v>X1502ZA-EJ502WS</v>
          </cell>
          <cell r="F260" t="str">
            <v>90NB0VX2-M004M0</v>
          </cell>
          <cell r="G260" t="str">
            <v xml:space="preserve">Intel® Core™ i5-1240P /  / 8GB DDR4 / 512GB SSD / 15.6-inch / FHD  /  / Transparent Silver /  / FingerPrint / 42WHrs battery /  /  / MS Office  / </v>
          </cell>
          <cell r="H260">
            <v>32893</v>
          </cell>
          <cell r="I260">
            <v>26621</v>
          </cell>
          <cell r="J260">
            <v>27993</v>
          </cell>
          <cell r="K260">
            <v>22655</v>
          </cell>
          <cell r="L260">
            <v>4900</v>
          </cell>
          <cell r="M260">
            <v>3966</v>
          </cell>
          <cell r="N260" t="str">
            <v>01 - 29 MARCH</v>
          </cell>
          <cell r="O260" t="str">
            <v>(NB20260315)_Mar_Sellout Support_RF _Asus_Select</v>
          </cell>
        </row>
        <row r="261">
          <cell r="C261" t="str">
            <v>RF X1504VAP-NJ321WS</v>
          </cell>
          <cell r="E261" t="str">
            <v>X1504VAP-NJ321WS</v>
          </cell>
          <cell r="F261" t="str">
            <v>90NB13Y2-M003D0</v>
          </cell>
          <cell r="G261" t="str">
            <v xml:space="preserve">INTEL CORE 3-100U / 8GB DDR4  / 512GB PCIe® 4.0 SSD / 15.6-inch / FHD (1920 x 1080) 16:9  /  / COOL SILVER / Backlit KB / Win 11 Home / MS Office / </v>
          </cell>
          <cell r="H261">
            <v>28693</v>
          </cell>
          <cell r="I261">
            <v>23222</v>
          </cell>
          <cell r="J261">
            <v>27993</v>
          </cell>
          <cell r="K261">
            <v>22655</v>
          </cell>
          <cell r="L261">
            <v>700</v>
          </cell>
          <cell r="M261">
            <v>567</v>
          </cell>
          <cell r="N261" t="str">
            <v>01 - 29 MARCH</v>
          </cell>
          <cell r="O261" t="str">
            <v>(NB20260315)_Mar_Sellout Support_RF _Asus_Select</v>
          </cell>
        </row>
        <row r="262">
          <cell r="C262" t="str">
            <v>RF X1504VAP-NJ322WS</v>
          </cell>
          <cell r="E262" t="str">
            <v>X1504VAP-NJ322WS</v>
          </cell>
          <cell r="F262" t="str">
            <v>90NB13Y1-M003E0</v>
          </cell>
          <cell r="G262" t="str">
            <v xml:space="preserve">INTEL CORE 3-100U / 8GB DDR4  / 512GB PCIe® 4.0 SSD / 15.6-inch / FHD (1920 x 1080) 16:9  /  / Quiet Blue / Backlit KB / Win 11 Home / MS Office / </v>
          </cell>
          <cell r="H262">
            <v>28693</v>
          </cell>
          <cell r="I262">
            <v>23222</v>
          </cell>
          <cell r="J262">
            <v>27993</v>
          </cell>
          <cell r="K262">
            <v>22655</v>
          </cell>
          <cell r="L262">
            <v>700</v>
          </cell>
          <cell r="M262">
            <v>567</v>
          </cell>
          <cell r="N262" t="str">
            <v>01 - 29 MARCH</v>
          </cell>
          <cell r="O262" t="str">
            <v>(NB20260315)_Mar_Sellout Support_RF _Asus_Select</v>
          </cell>
        </row>
        <row r="263">
          <cell r="C263" t="str">
            <v>RF KM513IA-EJ395T</v>
          </cell>
          <cell r="E263" t="str">
            <v>KM513IA-EJ395T</v>
          </cell>
          <cell r="F263" t="str">
            <v>90NB0RR3-M05500</v>
          </cell>
          <cell r="G263" t="str">
            <v>R5-4500U//8G/1TB HDD+256G PCIe SSD/HEARTY GOLD/15.6"FHD/1Y international warranty//Finger Print/BK KB</v>
          </cell>
          <cell r="H263">
            <v>32994</v>
          </cell>
          <cell r="I263">
            <v>26703</v>
          </cell>
          <cell r="J263">
            <v>28094</v>
          </cell>
          <cell r="K263">
            <v>22737</v>
          </cell>
          <cell r="L263">
            <v>4900</v>
          </cell>
          <cell r="M263">
            <v>3966</v>
          </cell>
          <cell r="N263" t="str">
            <v>01 - 29 MARCH</v>
          </cell>
          <cell r="O263" t="str">
            <v>(NB20260315)_Mar_Sellout Support_RF _Asus_Select</v>
          </cell>
        </row>
        <row r="264">
          <cell r="C264" t="str">
            <v>RF KM513IA-EJ396T</v>
          </cell>
          <cell r="E264" t="str">
            <v>KM513IA-EJ396T</v>
          </cell>
          <cell r="F264" t="str">
            <v>90NB0RR2-M05510</v>
          </cell>
          <cell r="G264" t="str">
            <v>R5-4500U//8G/1TB HDD+256G PCIe SSD/TRANSPARENT SILVER/15.6"FHD/1Y international warranty//Finger Print/BK KB</v>
          </cell>
          <cell r="H264">
            <v>32994</v>
          </cell>
          <cell r="I264">
            <v>26703</v>
          </cell>
          <cell r="J264">
            <v>28094</v>
          </cell>
          <cell r="K264">
            <v>22737</v>
          </cell>
          <cell r="L264">
            <v>4900</v>
          </cell>
          <cell r="M264">
            <v>3966</v>
          </cell>
          <cell r="N264" t="str">
            <v>01 - 29 MARCH</v>
          </cell>
          <cell r="O264" t="str">
            <v>(NB20260315)_Mar_Sellout Support_RF _Asus_Select</v>
          </cell>
        </row>
        <row r="265">
          <cell r="C265" t="str">
            <v>RF E1504FA-NJ1925WS</v>
          </cell>
          <cell r="E265" t="str">
            <v>E1504FA-NJ1925WS</v>
          </cell>
          <cell r="F265" t="str">
            <v>90NB0ZR1-M03410</v>
          </cell>
          <cell r="G265" t="str">
            <v xml:space="preserve">AMD Ryzen™ 3 7320U / 16GB LPDDR5 / 512GB PCIe® 3.0 SSD / 15.6-inch / FHD (1920 x 1080) 16:9  /  / Cool Silver /  / Win 11 Home / OFFICE HOME 24(IN)+M365 BASIC / </v>
          </cell>
          <cell r="H265">
            <v>29592</v>
          </cell>
          <cell r="I265">
            <v>23949</v>
          </cell>
          <cell r="J265">
            <v>28192</v>
          </cell>
          <cell r="K265">
            <v>22816</v>
          </cell>
          <cell r="L265">
            <v>1400</v>
          </cell>
          <cell r="M265">
            <v>1133</v>
          </cell>
          <cell r="N265" t="str">
            <v>01 - 29 MARCH</v>
          </cell>
          <cell r="O265" t="str">
            <v>(NB20260315)_Mar_Sellout Support_RF _Asus_Select</v>
          </cell>
        </row>
        <row r="266">
          <cell r="C266" t="str">
            <v>RF TN3402QA-LZ520WS</v>
          </cell>
          <cell r="E266" t="str">
            <v>TN3402QA-LZ520WS</v>
          </cell>
          <cell r="F266" t="str">
            <v>90NB0WT2-M00AJ0</v>
          </cell>
          <cell r="G266" t="str">
            <v xml:space="preserve">AMD Ryzen™ 5 5600H /  /  / 8GB DDR4  / 512GB PCIe® 3.0 SSD / 14.0-inch / WUXGA (1920 x 1200) 16:10  /  / Cool Silver / NumberPad /  / FingerPrint / Backlit KB / Win 11 Home / MS Office / </v>
          </cell>
          <cell r="H266">
            <v>31794</v>
          </cell>
          <cell r="I266">
            <v>25732</v>
          </cell>
          <cell r="J266">
            <v>28294</v>
          </cell>
          <cell r="K266">
            <v>22899</v>
          </cell>
          <cell r="L266">
            <v>3500</v>
          </cell>
          <cell r="M266">
            <v>2833</v>
          </cell>
          <cell r="N266" t="str">
            <v>01 - 29 MARCH</v>
          </cell>
          <cell r="O266" t="str">
            <v>(NB20260315)_Mar_Sellout Support_RF _Asus_Select</v>
          </cell>
        </row>
        <row r="267">
          <cell r="C267" t="str">
            <v>RF K513EA-BQ511TS</v>
          </cell>
          <cell r="E267" t="str">
            <v>K513EA-BQ511TS</v>
          </cell>
          <cell r="F267" t="str">
            <v>90NB0SG1-M05740</v>
          </cell>
          <cell r="G267" t="str">
            <v>i5-1135G7//8G/1+256G PCIe/INDIE BLACK/15.6"FHD vIPS/1Y international warranty + McAfee/Office H&amp;S/Backlit KB/Finger Print</v>
          </cell>
          <cell r="H267">
            <v>31493</v>
          </cell>
          <cell r="I267">
            <v>25488</v>
          </cell>
          <cell r="J267">
            <v>28343</v>
          </cell>
          <cell r="K267">
            <v>22939</v>
          </cell>
          <cell r="L267">
            <v>3150</v>
          </cell>
          <cell r="M267">
            <v>2549</v>
          </cell>
          <cell r="N267" t="str">
            <v>01 - 29 MARCH</v>
          </cell>
          <cell r="O267" t="str">
            <v>(NB20260315)_Mar_Sellout Support_RF _Asus_Select</v>
          </cell>
        </row>
        <row r="268">
          <cell r="C268" t="str">
            <v>RF K513EA-L501WS</v>
          </cell>
          <cell r="E268" t="str">
            <v>K513EA-L501WS</v>
          </cell>
          <cell r="F268" t="str">
            <v>90NB0SG3-M43720</v>
          </cell>
          <cell r="G268" t="str">
            <v>i5-1135G7//8G/1+256G PCIe/Spangle Silver/15.6"FHD OLED/1Y international warranty + McAfee/Win 11 + Office H&amp;S/Backlit KB/Finger Print</v>
          </cell>
          <cell r="H268">
            <v>31493</v>
          </cell>
          <cell r="I268">
            <v>25488</v>
          </cell>
          <cell r="J268">
            <v>28343</v>
          </cell>
          <cell r="K268">
            <v>22939</v>
          </cell>
          <cell r="L268">
            <v>3150</v>
          </cell>
          <cell r="M268">
            <v>2549</v>
          </cell>
          <cell r="N268" t="str">
            <v>01 - 29 MARCH</v>
          </cell>
          <cell r="O268" t="str">
            <v>(NB20260315)_Mar_Sellout Support_RF _Asus_Select</v>
          </cell>
        </row>
        <row r="269">
          <cell r="C269" t="str">
            <v>RF K513EA-L502WS</v>
          </cell>
          <cell r="E269" t="str">
            <v>K513EA-L502WS</v>
          </cell>
          <cell r="F269" t="str">
            <v>90NB0SG1-M43730</v>
          </cell>
          <cell r="G269" t="str">
            <v>i5-1135G7//8G/1+256G PCIe/INDIE BLACK/15.6"FHD OLED/1Y international warranty + McAfee/Win 11 + Office H&amp;S/Backlit KB/Finger Print</v>
          </cell>
          <cell r="H269">
            <v>31493</v>
          </cell>
          <cell r="I269">
            <v>25488</v>
          </cell>
          <cell r="J269">
            <v>28343</v>
          </cell>
          <cell r="K269">
            <v>22939</v>
          </cell>
          <cell r="L269">
            <v>3150</v>
          </cell>
          <cell r="M269">
            <v>2549</v>
          </cell>
          <cell r="N269" t="str">
            <v>01 - 29 MARCH</v>
          </cell>
          <cell r="O269" t="str">
            <v>(NB20260315)_Mar_Sellout Support_RF _Asus_Select</v>
          </cell>
        </row>
        <row r="270">
          <cell r="C270" t="str">
            <v>RF TP470EA-EC301WS</v>
          </cell>
          <cell r="E270" t="str">
            <v>TP470EA-EC301WS</v>
          </cell>
          <cell r="F270" t="str">
            <v>90NB0S02-M00AE0</v>
          </cell>
          <cell r="G270" t="str">
            <v>i3-1115G4//8G/256 PCIe SSD/TRANSPARENT SILVER/14.0" FHD IPS TOUCH/1Y international warranty + McAfee/Win 11 + Office H&amp;S/Stylus/Finger Print</v>
          </cell>
          <cell r="H270">
            <v>31493</v>
          </cell>
          <cell r="I270">
            <v>25488</v>
          </cell>
          <cell r="J270">
            <v>28343</v>
          </cell>
          <cell r="K270">
            <v>22939</v>
          </cell>
          <cell r="L270">
            <v>3150</v>
          </cell>
          <cell r="M270">
            <v>2549</v>
          </cell>
          <cell r="N270" t="str">
            <v>01 - 29 MARCH</v>
          </cell>
          <cell r="O270" t="str">
            <v>(NB20260315)_Mar_Sellout Support_RF _Asus_Select</v>
          </cell>
        </row>
        <row r="271">
          <cell r="C271" t="str">
            <v>RF X513EP-BQ502TS</v>
          </cell>
          <cell r="E271" t="str">
            <v>X513EP-BQ502TS</v>
          </cell>
          <cell r="F271" t="str">
            <v>90NB0SJ4-M02400</v>
          </cell>
          <cell r="G271" t="str">
            <v>i5-1135G7/MX330/8G/1TB+256 PCIe SSD/BESPOKE BLACK/15.6"FHD vIPS/1Y international warranty + McAfee/Office H&amp;S/Finger Print/Backlit KB</v>
          </cell>
          <cell r="H271">
            <v>31493</v>
          </cell>
          <cell r="I271">
            <v>25488</v>
          </cell>
          <cell r="J271">
            <v>28343</v>
          </cell>
          <cell r="K271">
            <v>22939</v>
          </cell>
          <cell r="L271">
            <v>3150</v>
          </cell>
          <cell r="M271">
            <v>2549</v>
          </cell>
          <cell r="N271" t="str">
            <v>01 - 29 MARCH</v>
          </cell>
          <cell r="O271" t="str">
            <v>(NB20260315)_Mar_Sellout Support_RF _Asus_Select</v>
          </cell>
        </row>
        <row r="272">
          <cell r="C272" t="str">
            <v>RF UM325SA-KG502TS</v>
          </cell>
          <cell r="E272" t="str">
            <v>UM325SA-KG502TS</v>
          </cell>
          <cell r="F272" t="str">
            <v>90NB0TQ1-M01510</v>
          </cell>
          <cell r="G272" t="str">
            <v>R5-5600U//16G/512G PCIe SSD/PINE GREY/13.3 OLED/1Y international warranty + McAfee/Office H&amp;S/NUMPAD/Zenbook Sleeve/Audio Jack Dongle/Win 10</v>
          </cell>
          <cell r="H272">
            <v>35394</v>
          </cell>
          <cell r="I272">
            <v>28645</v>
          </cell>
          <cell r="J272">
            <v>28394</v>
          </cell>
          <cell r="K272">
            <v>22980</v>
          </cell>
          <cell r="L272">
            <v>7000</v>
          </cell>
          <cell r="M272">
            <v>5665</v>
          </cell>
          <cell r="N272" t="str">
            <v>01 - 29 MARCH</v>
          </cell>
          <cell r="O272" t="str">
            <v>(NB20260315)_Mar_Sellout Support_RF _Asus_Select</v>
          </cell>
        </row>
        <row r="273">
          <cell r="C273" t="str">
            <v>RF UX363EA-HP501TS</v>
          </cell>
          <cell r="E273" t="str">
            <v>UX363EA-HP501TS</v>
          </cell>
          <cell r="F273" t="str">
            <v>90NB0RZ1-M06250</v>
          </cell>
          <cell r="G273" t="str">
            <v>i5-1135G7//8G/512G PCIe SSD + Optane 32G/PINE GREY/13.3" FHD OLED TOUCH/1Y international warranty + MacFee/Office H&amp;S/Stylus/Sleeve/TypeC to Audio Jack/TPM/NUMBER PAD</v>
          </cell>
          <cell r="H273">
            <v>34194</v>
          </cell>
          <cell r="I273">
            <v>27674</v>
          </cell>
          <cell r="J273">
            <v>28594</v>
          </cell>
          <cell r="K273">
            <v>23142</v>
          </cell>
          <cell r="L273">
            <v>5600</v>
          </cell>
          <cell r="M273">
            <v>4532</v>
          </cell>
          <cell r="N273" t="str">
            <v>01 - 29 MARCH</v>
          </cell>
          <cell r="O273" t="str">
            <v>(NB20260315)_Mar_Sellout Support_RF _Asus_Select</v>
          </cell>
        </row>
        <row r="274">
          <cell r="C274" t="str">
            <v>RF KM513IA-EJ399T</v>
          </cell>
          <cell r="E274" t="str">
            <v>KM513IA-EJ399T</v>
          </cell>
          <cell r="F274" t="str">
            <v>90NB0RR2-M05540</v>
          </cell>
          <cell r="G274" t="str">
            <v>R7-4700U//8G/1TB HDD+256G PCIe SSD/TRANSPARENT SILVER/15.6"FHD/1Y international warranty//Finger Print/BK KB</v>
          </cell>
          <cell r="H274">
            <v>37794</v>
          </cell>
          <cell r="I274">
            <v>30588</v>
          </cell>
          <cell r="J274">
            <v>28694</v>
          </cell>
          <cell r="K274">
            <v>23223</v>
          </cell>
          <cell r="L274">
            <v>9100</v>
          </cell>
          <cell r="M274">
            <v>7365</v>
          </cell>
          <cell r="N274" t="str">
            <v>01 - 29 MARCH</v>
          </cell>
          <cell r="O274" t="str">
            <v>(NB20260315)_Mar_Sellout Support_RF _Asus_Select</v>
          </cell>
        </row>
        <row r="275">
          <cell r="C275" t="str">
            <v>RF M513IA-BQ712TS</v>
          </cell>
          <cell r="E275" t="str">
            <v>M513IA-BQ712TS</v>
          </cell>
          <cell r="F275" t="str">
            <v>90NB0RR4-M07420</v>
          </cell>
          <cell r="G275" t="str">
            <v>R7-4700U//8G/1TB HDD+256G PCIe SSD/BESPOKE BLACK/15.6"FHD vIPS/1Y international warranty/Office H&amp;S/Finger Print/BK KB</v>
          </cell>
          <cell r="H275">
            <v>37794</v>
          </cell>
          <cell r="I275">
            <v>30588</v>
          </cell>
          <cell r="J275">
            <v>28694</v>
          </cell>
          <cell r="K275">
            <v>23223</v>
          </cell>
          <cell r="L275">
            <v>9100</v>
          </cell>
          <cell r="M275">
            <v>7365</v>
          </cell>
          <cell r="N275" t="str">
            <v>01 - 29 MARCH</v>
          </cell>
          <cell r="O275" t="str">
            <v>(NB20260315)_Mar_Sellout Support_RF _Asus_Select</v>
          </cell>
        </row>
        <row r="276">
          <cell r="C276" t="str">
            <v>RF TN3402QA-LZ501WS</v>
          </cell>
          <cell r="E276" t="str">
            <v>TN3402QA-LZ501WS</v>
          </cell>
          <cell r="F276" t="str">
            <v>90NB0WT2-M00180</v>
          </cell>
          <cell r="G276" t="str">
            <v>AMD R5-5600H / 512G PCIEG3 SSD / DDR4 8G RAM / 14.0 FHD + TOUCH,300NITS,NTSC:45%-NB / TRANSPARENT SILVER / Backlit KB / FINGERPRINT / WITH NUMPAD / STYLUS / Win 11 /  / MS Office H&amp;S 2021 / MCAFEE_1Y</v>
          </cell>
          <cell r="H276">
            <v>32394</v>
          </cell>
          <cell r="I276">
            <v>26217</v>
          </cell>
          <cell r="J276">
            <v>28894</v>
          </cell>
          <cell r="K276">
            <v>23385</v>
          </cell>
          <cell r="L276">
            <v>3500</v>
          </cell>
          <cell r="M276">
            <v>2832</v>
          </cell>
          <cell r="N276" t="str">
            <v>01 - 29 MARCH</v>
          </cell>
          <cell r="O276" t="str">
            <v>(NB20260315)_Mar_Sellout Support_RF _Asus_Select</v>
          </cell>
        </row>
        <row r="277">
          <cell r="C277" t="str">
            <v>RF K413EA-EB522TS</v>
          </cell>
          <cell r="E277" t="str">
            <v>K413EA-EB522TS</v>
          </cell>
          <cell r="F277" t="str">
            <v>90NB0RLF-M12580</v>
          </cell>
          <cell r="G277" t="str">
            <v>i5-1135G7//16GB/512G PCIe SSD/INDIE BLACK/14.0"FHD vIPS/1Y international warranty + McAfee/Office H&amp;S/Backlit KB/Finger Print</v>
          </cell>
          <cell r="H277">
            <v>32193</v>
          </cell>
          <cell r="I277">
            <v>26055</v>
          </cell>
          <cell r="J277">
            <v>28973</v>
          </cell>
          <cell r="K277">
            <v>23448</v>
          </cell>
          <cell r="L277">
            <v>3220</v>
          </cell>
          <cell r="M277">
            <v>2607</v>
          </cell>
          <cell r="N277" t="str">
            <v>01 - 29 MARCH</v>
          </cell>
          <cell r="O277" t="str">
            <v>(NB20260315)_Mar_Sellout Support_RF _Asus_Select</v>
          </cell>
        </row>
        <row r="278">
          <cell r="C278" t="str">
            <v>RF X515EP-BQ512TS</v>
          </cell>
          <cell r="E278" t="str">
            <v>X515EP-BQ512TS</v>
          </cell>
          <cell r="F278" t="str">
            <v>90NB0TZ2-M01350</v>
          </cell>
          <cell r="G278" t="str">
            <v>i5-1135G7/MX330/8G/1T+256G PCIe SSD/TRANSPARENT SILVER/15.6"FHD vIPS/1Y international warranty + McAfee/Office H&amp;S/Finger Print/Win 10</v>
          </cell>
          <cell r="H278">
            <v>32193</v>
          </cell>
          <cell r="I278">
            <v>26055</v>
          </cell>
          <cell r="J278">
            <v>28973</v>
          </cell>
          <cell r="K278">
            <v>23448</v>
          </cell>
          <cell r="L278">
            <v>3220</v>
          </cell>
          <cell r="M278">
            <v>2607</v>
          </cell>
          <cell r="N278" t="str">
            <v>01 - 29 MARCH</v>
          </cell>
          <cell r="O278" t="str">
            <v>(NB20260315)_Mar_Sellout Support_RF _Asus_Select</v>
          </cell>
        </row>
        <row r="279">
          <cell r="C279" t="str">
            <v>RF E1504FA-NJ132WS</v>
          </cell>
          <cell r="E279" t="str">
            <v>E1504FA-NJ132WS</v>
          </cell>
          <cell r="F279" t="str">
            <v>90NB0ZR1-M02LB0</v>
          </cell>
          <cell r="G279" t="str">
            <v xml:space="preserve">AMD Ryzen™ 5 7520U / 8GB LPDDR5 / 512GB PCIe® 3.0 SSD / 15.6-inch / FHD (1920 x 1080) 16:9  /  / Cool Silver /  / Win 11 Home / Office Home 2024 &amp; M365 Basic 1 Year / </v>
          </cell>
          <cell r="H279">
            <v>30392</v>
          </cell>
          <cell r="I279">
            <v>24597</v>
          </cell>
          <cell r="J279">
            <v>28992</v>
          </cell>
          <cell r="K279">
            <v>23464</v>
          </cell>
          <cell r="L279">
            <v>1400</v>
          </cell>
          <cell r="M279">
            <v>1133</v>
          </cell>
          <cell r="N279" t="str">
            <v>01 - 29 MARCH</v>
          </cell>
          <cell r="O279" t="str">
            <v>(NB20260315)_Mar_Sellout Support_RF _Asus_Select</v>
          </cell>
        </row>
        <row r="280">
          <cell r="C280" t="str">
            <v>RF E1404FA-EB2521WS</v>
          </cell>
          <cell r="E280" t="str">
            <v>E1404FA-EB2521WS</v>
          </cell>
          <cell r="F280" t="str">
            <v>90NB0ZS1-M01AR0</v>
          </cell>
          <cell r="G280" t="str">
            <v xml:space="preserve">AMD Ryzen™ 5 7520U / 8GB DDR5 / 512GB PCIe® 3.0 SSD / 14.0-inch / FHD (1920 x 1080) 16:9  /  / Cool Silver / NumberPad / Win 11 Home / OFFICE HOME 24(IN)+M365 BASIC / </v>
          </cell>
          <cell r="H280">
            <v>30392</v>
          </cell>
          <cell r="I280">
            <v>24597</v>
          </cell>
          <cell r="J280">
            <v>28992</v>
          </cell>
          <cell r="K280">
            <v>23464</v>
          </cell>
          <cell r="L280">
            <v>1400</v>
          </cell>
          <cell r="M280">
            <v>1133</v>
          </cell>
          <cell r="N280" t="str">
            <v>01 - 29 MARCH</v>
          </cell>
          <cell r="O280" t="str">
            <v>(NB20260315)_Mar_Sellout Support_RF _Asus_Select</v>
          </cell>
        </row>
        <row r="281">
          <cell r="C281" t="str">
            <v>RF E1504FA-NJ133WS</v>
          </cell>
          <cell r="E281" t="str">
            <v>E1504FA-NJ133WS</v>
          </cell>
          <cell r="F281" t="str">
            <v>90NB0ZR2-M02L80</v>
          </cell>
          <cell r="G281" t="str">
            <v xml:space="preserve">AMD Ryzen™ 5 7520U / 8GB LPDDR5 / 512GB PCIe® 3.0 SSD / 15.6-inch / FHD (1920 x 1080) 16:9  /  / Mixed Black /  / Win 11 Home / Office Home 2024 &amp; M365 Basic 1 Year / </v>
          </cell>
          <cell r="H281">
            <v>30392</v>
          </cell>
          <cell r="I281">
            <v>24597</v>
          </cell>
          <cell r="J281">
            <v>28992</v>
          </cell>
          <cell r="K281">
            <v>23464</v>
          </cell>
          <cell r="L281">
            <v>1400</v>
          </cell>
          <cell r="M281">
            <v>1133</v>
          </cell>
          <cell r="N281" t="str">
            <v>01 - 29 MARCH</v>
          </cell>
          <cell r="O281" t="str">
            <v>(NB20260315)_Mar_Sellout Support_RF _Asus_Select</v>
          </cell>
        </row>
        <row r="282">
          <cell r="C282" t="str">
            <v>RF E1504FA-BQ2522WS</v>
          </cell>
          <cell r="E282" t="str">
            <v>E1504FA-BQ2522WS</v>
          </cell>
          <cell r="F282" t="str">
            <v>90NB0ZR2-M03VD0</v>
          </cell>
          <cell r="G282" t="str">
            <v xml:space="preserve">AMD Ryzen™ 5 7520U / 8GB DDR5 / 512GB PCIe® 3.0 SSD / 15.6-inch / 15.6" FHD ANTI-GLARE NON-TOUCH,250NITS,NTSC:45%,VIPS-NB(BQ) /  / Mixed Black /  / Win 11 Home / OFFICE HOME 24(IN)+M365 BASIC / </v>
          </cell>
          <cell r="H282">
            <v>30392</v>
          </cell>
          <cell r="I282">
            <v>24597</v>
          </cell>
          <cell r="J282">
            <v>28992</v>
          </cell>
          <cell r="K282">
            <v>23464</v>
          </cell>
          <cell r="L282">
            <v>1400</v>
          </cell>
          <cell r="M282">
            <v>1133</v>
          </cell>
          <cell r="N282" t="str">
            <v>01 - 29 MARCH</v>
          </cell>
          <cell r="O282" t="str">
            <v>(NB20260315)_Mar_Sellout Support_RF _Asus_Select</v>
          </cell>
        </row>
        <row r="283">
          <cell r="C283" t="str">
            <v>RF E1404FA-NK5521WS</v>
          </cell>
          <cell r="E283" t="str">
            <v>E1404FA-NK5521WS</v>
          </cell>
          <cell r="F283" t="str">
            <v>90NB0ZS1-M00Y30</v>
          </cell>
          <cell r="G283" t="str">
            <v xml:space="preserve">AMD Ryzen™ 5 7520U / 8GB DDR5 / 512GB PCIe® 3.0 SSD / 14.0-inch / FHD (1920 x 1080) 16:9  /  / Cool Silver / NumberPad / Win 11 Home / Office Home 2024 &amp; M365 Basic 1 Year / </v>
          </cell>
          <cell r="H283">
            <v>30392</v>
          </cell>
          <cell r="I283">
            <v>24597</v>
          </cell>
          <cell r="J283">
            <v>28992</v>
          </cell>
          <cell r="K283">
            <v>23464</v>
          </cell>
          <cell r="L283">
            <v>1400</v>
          </cell>
          <cell r="M283">
            <v>1133</v>
          </cell>
          <cell r="N283" t="str">
            <v>01 - 29 MARCH</v>
          </cell>
          <cell r="O283" t="str">
            <v>(NB20260315)_Mar_Sellout Support_RF _Asus_Select</v>
          </cell>
        </row>
        <row r="284">
          <cell r="C284" t="str">
            <v>RF E1404FA-EB2522WS</v>
          </cell>
          <cell r="E284" t="str">
            <v>E1404FA-EB2522WS</v>
          </cell>
          <cell r="F284" t="str">
            <v>90NB0ZS2-M01AS0</v>
          </cell>
          <cell r="G284" t="str">
            <v xml:space="preserve">AMD Ryzen™ 5 7520U / 8GB DDR5 / 512GB PCIe® 3.0 SSD / 14.0-inch / FHD (1920 x 1080) 16:9  /  / Mixed Black / NumberPad / Win 11 Home / OFFICE HOME 24(IN)+M365 BASIC / </v>
          </cell>
          <cell r="H284">
            <v>30392</v>
          </cell>
          <cell r="I284">
            <v>24597</v>
          </cell>
          <cell r="J284">
            <v>28992</v>
          </cell>
          <cell r="K284">
            <v>23464</v>
          </cell>
          <cell r="L284">
            <v>1400</v>
          </cell>
          <cell r="M284">
            <v>1133</v>
          </cell>
          <cell r="N284" t="str">
            <v>01 - 29 MARCH</v>
          </cell>
          <cell r="O284" t="str">
            <v>(NB20260315)_Mar_Sellout Support_RF _Asus_Select</v>
          </cell>
        </row>
        <row r="285">
          <cell r="C285" t="str">
            <v>RF E1504FA-BQ2523WS</v>
          </cell>
          <cell r="E285" t="str">
            <v>E1504FA-BQ2523WS</v>
          </cell>
          <cell r="F285" t="str">
            <v>90NB0ZR3-M042U0</v>
          </cell>
          <cell r="G285" t="str">
            <v xml:space="preserve">AMD Ryzen™ 5 7520U / 8GB DDR5 / 512GB PCIe® 3.0 SSD / 15.6-inch / 15.6" FHD ANTI-GLARE NON-TOUCH,250NITS,NTSC:45%,VIPS-NB(BQ) /  / Grey Green /  / Win 11 Home / OFFICE HOME 24(IN)+M365 BASIC / </v>
          </cell>
          <cell r="H285">
            <v>30392</v>
          </cell>
          <cell r="I285">
            <v>24597</v>
          </cell>
          <cell r="J285">
            <v>28992</v>
          </cell>
          <cell r="K285">
            <v>23464</v>
          </cell>
          <cell r="L285">
            <v>1400</v>
          </cell>
          <cell r="M285">
            <v>1133</v>
          </cell>
          <cell r="N285" t="str">
            <v>01 - 29 MARCH</v>
          </cell>
          <cell r="O285" t="str">
            <v>(NB20260315)_Mar_Sellout Support_RF _Asus_Select</v>
          </cell>
        </row>
        <row r="286">
          <cell r="C286" t="str">
            <v>RF E1404FA-NK522WS</v>
          </cell>
          <cell r="E286" t="str">
            <v>E1404FA-NK522WS</v>
          </cell>
          <cell r="F286" t="str">
            <v>90NB0ZS2-M00960</v>
          </cell>
          <cell r="G286" t="str">
            <v xml:space="preserve">AMD Ryzen™ 5 7520U /  /  / 8GB DDR5 / 512GB PCIe® 3.0 SSD / 14.0-inch / FHD (1920 x 1080) 16:9  /  / Mixed Black / NumberPad / Win 11 Home / MS Office / </v>
          </cell>
          <cell r="H286">
            <v>30392</v>
          </cell>
          <cell r="I286">
            <v>24597</v>
          </cell>
          <cell r="J286">
            <v>28992</v>
          </cell>
          <cell r="K286">
            <v>23464</v>
          </cell>
          <cell r="L286">
            <v>1400</v>
          </cell>
          <cell r="M286">
            <v>1133</v>
          </cell>
          <cell r="N286" t="str">
            <v>01 - 29 MARCH</v>
          </cell>
          <cell r="O286" t="str">
            <v>(NB20260315)_Mar_Sellout Support_RF _Asus_Select</v>
          </cell>
        </row>
        <row r="287">
          <cell r="C287" t="str">
            <v>RF E1404FA-NK521WS</v>
          </cell>
          <cell r="E287" t="str">
            <v>E1404FA-NK521WS</v>
          </cell>
          <cell r="F287" t="str">
            <v>90NB0ZS1-M00950</v>
          </cell>
          <cell r="G287" t="str">
            <v xml:space="preserve">AMD Ryzen™ 5 7520U /  /  / 8GB DDR5 / 512GB PCIe® 3.0 SSD / 14.0-inch / FHD (1920 x 1080) 16:9  /  / Cool Silver / NumberPad / Win 11 Home / MS Office / </v>
          </cell>
          <cell r="H287">
            <v>30392</v>
          </cell>
          <cell r="I287">
            <v>24597</v>
          </cell>
          <cell r="J287">
            <v>28992</v>
          </cell>
          <cell r="K287">
            <v>23464</v>
          </cell>
          <cell r="L287">
            <v>1400</v>
          </cell>
          <cell r="M287">
            <v>1133</v>
          </cell>
          <cell r="N287" t="str">
            <v>01 - 29 MARCH</v>
          </cell>
          <cell r="O287" t="str">
            <v>(NB20260315)_Mar_Sellout Support_RF _Asus_Select</v>
          </cell>
        </row>
        <row r="288">
          <cell r="C288" t="str">
            <v>RF E1504FA-NJ521WS</v>
          </cell>
          <cell r="E288" t="str">
            <v>E1504FA-NJ521WS</v>
          </cell>
          <cell r="F288" t="str">
            <v>90NB0ZR1-M00AH0</v>
          </cell>
          <cell r="G288" t="str">
            <v xml:space="preserve">AMD Ryzen™ 5 7520U /  /  / 8GB LPDDR5 / 512GB PCIe® 3.0 SSD / 15.6-inch / FHD (1920 x 1080) 16:9  /  / Cool Silver /  / Win 11 Home / MS Office / </v>
          </cell>
          <cell r="H288">
            <v>30392</v>
          </cell>
          <cell r="I288">
            <v>24597</v>
          </cell>
          <cell r="J288">
            <v>28992</v>
          </cell>
          <cell r="K288">
            <v>23464</v>
          </cell>
          <cell r="L288">
            <v>1400</v>
          </cell>
          <cell r="M288">
            <v>1133</v>
          </cell>
          <cell r="N288" t="str">
            <v>01 - 29 MARCH</v>
          </cell>
          <cell r="O288" t="str">
            <v>(NB20260315)_Mar_Sellout Support_RF _Asus_Select</v>
          </cell>
        </row>
        <row r="289">
          <cell r="C289" t="str">
            <v>RF E1504FA-NJ522WS</v>
          </cell>
          <cell r="E289" t="str">
            <v>E1504FA-NJ522WS</v>
          </cell>
          <cell r="F289" t="str">
            <v>90NB0ZR2-M008D0</v>
          </cell>
          <cell r="G289" t="str">
            <v xml:space="preserve">AMD Ryzen™ 5 7520U /  /  / 8GB LPDDR5 / 512GB PCIe® 3.0 SSD / 15.6-inch / FHD (1920 x 1080) 16:9  /  / Mixed Black /  / Win 11 Home / MS Office / </v>
          </cell>
          <cell r="H289">
            <v>30392</v>
          </cell>
          <cell r="I289">
            <v>24597</v>
          </cell>
          <cell r="J289">
            <v>28992</v>
          </cell>
          <cell r="K289">
            <v>23464</v>
          </cell>
          <cell r="L289">
            <v>1400</v>
          </cell>
          <cell r="M289">
            <v>1133</v>
          </cell>
          <cell r="N289" t="str">
            <v>01 - 29 MARCH</v>
          </cell>
          <cell r="O289" t="str">
            <v>(NB20260315)_Mar_Sellout Support_RF _Asus_Select</v>
          </cell>
        </row>
        <row r="290">
          <cell r="C290" t="str">
            <v>RF E1404FA-NK523WS</v>
          </cell>
          <cell r="E290" t="str">
            <v>E1404FA-NK523WS</v>
          </cell>
          <cell r="F290" t="str">
            <v>90NB0ZS3-M00970</v>
          </cell>
          <cell r="G290" t="str">
            <v xml:space="preserve">AMD Ryzen™ 5 7520U /  /  / 8GB DDR5 / 512GB PCIe® 3.0 SSD / 14.0-inch / FHD (1920 x 1080) 16:9  /  / Grey Green / NumberPad / Win 11 Home / MS Office / </v>
          </cell>
          <cell r="H290">
            <v>30392</v>
          </cell>
          <cell r="I290">
            <v>24597</v>
          </cell>
          <cell r="J290">
            <v>28992</v>
          </cell>
          <cell r="K290">
            <v>23464</v>
          </cell>
          <cell r="L290">
            <v>1400</v>
          </cell>
          <cell r="M290">
            <v>1133</v>
          </cell>
          <cell r="N290" t="str">
            <v>01 - 29 MARCH</v>
          </cell>
          <cell r="O290" t="str">
            <v>(NB20260315)_Mar_Sellout Support_RF _Asus_Select</v>
          </cell>
        </row>
        <row r="291">
          <cell r="C291" t="str">
            <v>RF E1404FA-NK522WS</v>
          </cell>
          <cell r="E291" t="str">
            <v>E1404FA-NK522WS</v>
          </cell>
          <cell r="F291" t="str">
            <v>90NB0ZS2-M003X0</v>
          </cell>
          <cell r="G291" t="str">
            <v xml:space="preserve">AMD Ryzen™ 5 7520U /  /  / 8GB DDR5 / 512GB PCIe® 3.0 SSD / 14.0-inch / FHD (1920 x 1080) 16:9  /  / Mixed Black / NumberPad / Win 11 Home / MS Office / </v>
          </cell>
          <cell r="H291">
            <v>30392</v>
          </cell>
          <cell r="I291">
            <v>24597</v>
          </cell>
          <cell r="J291">
            <v>28992</v>
          </cell>
          <cell r="K291">
            <v>23464</v>
          </cell>
          <cell r="L291">
            <v>1400</v>
          </cell>
          <cell r="M291">
            <v>1133</v>
          </cell>
          <cell r="N291" t="str">
            <v>01 - 29 MARCH</v>
          </cell>
          <cell r="O291" t="str">
            <v>(NB20260315)_Mar_Sellout Support_RF _Asus_Select</v>
          </cell>
        </row>
        <row r="292">
          <cell r="C292" t="str">
            <v>RF E1504FA-BQ2341WS</v>
          </cell>
          <cell r="E292" t="str">
            <v>E1504FA-BQ2341WS</v>
          </cell>
          <cell r="F292" t="str">
            <v>90NB0ZR1-M04940</v>
          </cell>
          <cell r="G292" t="str">
            <v xml:space="preserve">AMD Ryzen™ 3 7320U / 16GB LPDDR5 / 512GB PCIe® 3.0 SSD / 15.6-inch / 15.6" FHD ANTI-GLARE NON-TOUCH,250NITS,NTSC:45%,VIPS-NB(BQ) /  / Cool Silver /  / Win 11 Home / OFFICE HOME 24(IN)+M365 BASIC / </v>
          </cell>
          <cell r="H292">
            <v>30392</v>
          </cell>
          <cell r="I292">
            <v>24597</v>
          </cell>
          <cell r="J292">
            <v>28992</v>
          </cell>
          <cell r="K292">
            <v>23464</v>
          </cell>
          <cell r="L292">
            <v>1400</v>
          </cell>
          <cell r="M292">
            <v>1133</v>
          </cell>
          <cell r="N292" t="str">
            <v>01 - 29 MARCH</v>
          </cell>
          <cell r="O292" t="str">
            <v>(NB20260315)_Mar_Sellout Support_RF _Asus_Select</v>
          </cell>
        </row>
        <row r="293">
          <cell r="C293" t="str">
            <v>RF E1504FA-BQ2343WS</v>
          </cell>
          <cell r="E293" t="str">
            <v>E1504FA-BQ2343WS</v>
          </cell>
          <cell r="F293" t="str">
            <v>90NB0ZR3-M04BU0</v>
          </cell>
          <cell r="G293" t="str">
            <v xml:space="preserve">AMD Ryzen™ 3 7320U / 16GB LPDDR5 / 512GB PCIe® 3.0 SSD / 15.6-inch / 15.6" FHD ANTI-GLARE NON-TOUCH,250NITS,NTSC:45%,VIPS-NB(BQ) /  / Grey Green /  / Win 11 Home / OFFICE HOME 24(IN)+M365 BASIC / </v>
          </cell>
          <cell r="H293">
            <v>30392</v>
          </cell>
          <cell r="I293">
            <v>24597</v>
          </cell>
          <cell r="J293">
            <v>28992</v>
          </cell>
          <cell r="K293">
            <v>23464</v>
          </cell>
          <cell r="L293">
            <v>1400</v>
          </cell>
          <cell r="M293">
            <v>1133</v>
          </cell>
          <cell r="N293" t="str">
            <v>01 - 29 MARCH</v>
          </cell>
          <cell r="O293" t="str">
            <v>(NB20260315)_Mar_Sellout Support_RF _Asus_Select</v>
          </cell>
        </row>
        <row r="294">
          <cell r="C294" t="str">
            <v>RF K413JA-EK286T</v>
          </cell>
          <cell r="E294" t="str">
            <v>K413JA-EK286T</v>
          </cell>
          <cell r="F294" t="str">
            <v>90NB0RCB-M03900</v>
          </cell>
          <cell r="G294" t="str">
            <v>i5-1035G1//8GB/512G PCIe SSD/TRANSPERANT SILVER/14"FHD/1Y international warranty//Backlit KB/Finger Print</v>
          </cell>
          <cell r="H294">
            <v>32994</v>
          </cell>
          <cell r="I294">
            <v>26703</v>
          </cell>
          <cell r="J294">
            <v>29144</v>
          </cell>
          <cell r="K294">
            <v>23587</v>
          </cell>
          <cell r="L294">
            <v>3850</v>
          </cell>
          <cell r="M294">
            <v>3116</v>
          </cell>
          <cell r="N294" t="str">
            <v>01 - 29 MARCH</v>
          </cell>
          <cell r="O294" t="str">
            <v>(NB20260315)_Mar_Sellout Support_RF _Asus_Select</v>
          </cell>
        </row>
        <row r="295">
          <cell r="C295" t="str">
            <v>RF UX425EA-BM501TS</v>
          </cell>
          <cell r="E295" t="str">
            <v>UX425EA-BM501TS</v>
          </cell>
          <cell r="F295" t="str">
            <v>90NB0SM1-M04830</v>
          </cell>
          <cell r="G295" t="str">
            <v>i5-1135G7//8G/512G PCIe SSD/PINE GREY/14.0"FHD IPS/1Y international warranty + MacFee/Office H&amp;S/NUMPAD/Zenbook Sleeve/Audio Jack Dongle</v>
          </cell>
          <cell r="H295">
            <v>32994</v>
          </cell>
          <cell r="I295">
            <v>26703</v>
          </cell>
          <cell r="J295">
            <v>29144</v>
          </cell>
          <cell r="K295">
            <v>23587</v>
          </cell>
          <cell r="L295">
            <v>3850</v>
          </cell>
          <cell r="M295">
            <v>3116</v>
          </cell>
          <cell r="N295" t="str">
            <v>01 - 29 MARCH</v>
          </cell>
          <cell r="O295" t="str">
            <v>(NB20260315)_Mar_Sellout Support_RF _Asus_Select</v>
          </cell>
        </row>
        <row r="296">
          <cell r="C296" t="str">
            <v>RF UX482EG-KA521TS</v>
          </cell>
          <cell r="E296" t="str">
            <v>UX482EG-KA521TS</v>
          </cell>
          <cell r="F296" t="str">
            <v>90NB0S51-M02720</v>
          </cell>
          <cell r="G296" t="str">
            <v>i5-1135G7/MX450/16G/512G PCIe SSD/CELESTIAL BLUE/14.0"FHD IPS Touch/1Y international warranty + McAfee/Office H&amp;S/Sleeve/Soft Stand/Stylus</v>
          </cell>
          <cell r="H296">
            <v>32994</v>
          </cell>
          <cell r="I296">
            <v>26703</v>
          </cell>
          <cell r="J296">
            <v>29144</v>
          </cell>
          <cell r="K296">
            <v>23587</v>
          </cell>
          <cell r="L296">
            <v>3850</v>
          </cell>
          <cell r="M296">
            <v>3116</v>
          </cell>
          <cell r="N296" t="str">
            <v>01 - 29 MARCH</v>
          </cell>
          <cell r="O296" t="str">
            <v>(NB20260315)_Mar_Sellout Support_RF _Asus_Select</v>
          </cell>
        </row>
        <row r="297">
          <cell r="C297" t="str">
            <v>RF X1405ZA-KM311WS</v>
          </cell>
          <cell r="E297" t="str">
            <v>X1405ZA-KM311WS</v>
          </cell>
          <cell r="F297" t="str">
            <v>90NB0ZC7-M00190</v>
          </cell>
          <cell r="G297" t="str">
            <v xml:space="preserve">Intel®Core™ i3-1215U /  /  / 8GB DDR4  / 512GB PCIe® 3.0 SSD / 14.0-inch / 2.8K (2880 x 1800) OLED 16:10  / 90Hz refresh rate / Indie Black /  /  / FingerPrint / Backlit KB / Win 11 Home / MS Office / </v>
          </cell>
          <cell r="H297">
            <v>31992</v>
          </cell>
          <cell r="I297">
            <v>25892</v>
          </cell>
          <cell r="J297">
            <v>29192</v>
          </cell>
          <cell r="K297">
            <v>23626</v>
          </cell>
          <cell r="L297">
            <v>2800</v>
          </cell>
          <cell r="M297">
            <v>2266</v>
          </cell>
          <cell r="N297" t="str">
            <v>01 - 29 MARCH</v>
          </cell>
          <cell r="O297" t="str">
            <v>(NB20260315)_Mar_Sellout Support_RF _Asus_Select</v>
          </cell>
        </row>
        <row r="298">
          <cell r="C298" t="str">
            <v>RF X1505ZA-L1311WS</v>
          </cell>
          <cell r="E298" t="str">
            <v>X1505ZA-L1311WS</v>
          </cell>
          <cell r="F298" t="str">
            <v>90NB0ZB1-M00120</v>
          </cell>
          <cell r="G298" t="str">
            <v>i3-1215U//8G/512 PCIe SSD/INDIE BLACK/15.6" FHD OLED/1Y international warranty + McAfee/Office H&amp;S/Finger Print/Backlit KB</v>
          </cell>
          <cell r="H298">
            <v>31992</v>
          </cell>
          <cell r="I298">
            <v>25892</v>
          </cell>
          <cell r="J298">
            <v>29192</v>
          </cell>
          <cell r="K298">
            <v>23626</v>
          </cell>
          <cell r="L298">
            <v>2800</v>
          </cell>
          <cell r="M298">
            <v>2266</v>
          </cell>
          <cell r="N298" t="str">
            <v>01 - 29 MARCH</v>
          </cell>
          <cell r="O298" t="str">
            <v>(NB20260315)_Mar_Sellout Support_RF _Asus_Select</v>
          </cell>
        </row>
        <row r="299">
          <cell r="C299" t="str">
            <v>RF X1605ZAB-MB342WS</v>
          </cell>
          <cell r="E299" t="str">
            <v>X1605ZAB-MB342WS</v>
          </cell>
          <cell r="F299" t="str">
            <v>90NB0ZA3-M00VA0</v>
          </cell>
          <cell r="G299" t="str">
            <v xml:space="preserve">Intel®Core™ i3-1215U /  /  / 16GB DDR4  / 512GB PCIe® 4.0 SSD / 16.0-inch / WUXGA (1920 x 1200) 16:10  /  / Indie Black /  /  / FingerPrint /  / Win 11 Home / MS Office / </v>
          </cell>
          <cell r="H299">
            <v>31992</v>
          </cell>
          <cell r="I299">
            <v>25892</v>
          </cell>
          <cell r="J299">
            <v>29192</v>
          </cell>
          <cell r="K299">
            <v>23626</v>
          </cell>
          <cell r="L299">
            <v>2800</v>
          </cell>
          <cell r="M299">
            <v>2266</v>
          </cell>
          <cell r="N299" t="str">
            <v>01 - 29 MARCH</v>
          </cell>
          <cell r="O299" t="str">
            <v>(NB20260315)_Mar_Sellout Support_RF _Asus_Select</v>
          </cell>
        </row>
        <row r="300">
          <cell r="C300" t="str">
            <v>RF E1504GA-LK321WS</v>
          </cell>
          <cell r="E300" t="str">
            <v>E1504GA-LK321WS</v>
          </cell>
          <cell r="F300" t="str">
            <v>90NB0ZT1-M00990</v>
          </cell>
          <cell r="G300" t="str">
            <v xml:space="preserve">Intel® Core™ i3-N305 /  /  / 8GB DDR4 / 512GB PCIe® 3.0 SSD / 15.6-inch / FHD (1920 x 1080) OLED 16:9  /  / Cool Silver / Backlit KB / Win 11 Home / MS Office / </v>
          </cell>
          <cell r="H300">
            <v>34392</v>
          </cell>
          <cell r="I300">
            <v>27834</v>
          </cell>
          <cell r="J300">
            <v>29492</v>
          </cell>
          <cell r="K300">
            <v>23869</v>
          </cell>
          <cell r="L300">
            <v>4900</v>
          </cell>
          <cell r="M300">
            <v>3965</v>
          </cell>
          <cell r="N300" t="str">
            <v>01 - 29 MARCH</v>
          </cell>
          <cell r="O300" t="str">
            <v>(NB20260315)_Mar_Sellout Support_RF _Asus_Select</v>
          </cell>
        </row>
        <row r="301">
          <cell r="C301" t="str">
            <v>RF E1504GA-LK322WS</v>
          </cell>
          <cell r="E301" t="str">
            <v>E1504GA-LK322WS</v>
          </cell>
          <cell r="F301" t="str">
            <v>90NB0ZT2-M009D0</v>
          </cell>
          <cell r="G301" t="str">
            <v xml:space="preserve">Intel® Core™ i3-N305 /  /  / 8GB DDR4 / 512GB PCIe® 3.0 SSD / 15.6-inch / FHD (1920 x 1080) OLED 16:9  /  / Mixed Black / Backlit KB / Win 11 Home / MS Office / </v>
          </cell>
          <cell r="H301">
            <v>34392</v>
          </cell>
          <cell r="I301">
            <v>27834</v>
          </cell>
          <cell r="J301">
            <v>29492</v>
          </cell>
          <cell r="K301">
            <v>23869</v>
          </cell>
          <cell r="L301">
            <v>4900</v>
          </cell>
          <cell r="M301">
            <v>3965</v>
          </cell>
          <cell r="N301" t="str">
            <v>01 - 29 MARCH</v>
          </cell>
          <cell r="O301" t="str">
            <v>(NB20260315)_Mar_Sellout Support_RF _Asus_Select</v>
          </cell>
        </row>
        <row r="302">
          <cell r="C302" t="str">
            <v>RF E1504GA-LK323WS</v>
          </cell>
          <cell r="E302" t="str">
            <v>E1504GA-LK323WS</v>
          </cell>
          <cell r="F302" t="str">
            <v>90NB0ZT3-M009C0</v>
          </cell>
          <cell r="G302" t="str">
            <v xml:space="preserve">Intel® Core™ i3-N305 /  /  / 8GB DDR4 / 512GB PCIe® 3.0 SSD / 15.6-inch / FHD (1920 x 1080) OLED 16:9  /  / Green Grey/ Backlit KB / Win 11 Home / MS Office / </v>
          </cell>
          <cell r="H302">
            <v>34392</v>
          </cell>
          <cell r="I302">
            <v>27834</v>
          </cell>
          <cell r="J302">
            <v>29492</v>
          </cell>
          <cell r="K302">
            <v>23869</v>
          </cell>
          <cell r="L302">
            <v>4900</v>
          </cell>
          <cell r="M302">
            <v>3965</v>
          </cell>
          <cell r="N302" t="str">
            <v>01 - 29 MARCH</v>
          </cell>
          <cell r="O302" t="str">
            <v>(NB20260315)_Mar_Sellout Support_RF _Asus_Select</v>
          </cell>
        </row>
        <row r="303">
          <cell r="C303" t="str">
            <v>RF K513EA-L503TS</v>
          </cell>
          <cell r="E303" t="str">
            <v>K513EA-L503TS</v>
          </cell>
          <cell r="F303" t="str">
            <v>90NB0SG2-M12840</v>
          </cell>
          <cell r="G303" t="str">
            <v>i5-1135G7//8G/1+256G PCIe/TRANSPARENT SILVER/15.6"FHD OLED/1Y international warranty + McAfee/Office H&amp;S/Backlit KB/Finger Print</v>
          </cell>
          <cell r="H303">
            <v>32893</v>
          </cell>
          <cell r="I303">
            <v>26621</v>
          </cell>
          <cell r="J303">
            <v>29603</v>
          </cell>
          <cell r="K303">
            <v>23958</v>
          </cell>
          <cell r="L303">
            <v>3290</v>
          </cell>
          <cell r="M303">
            <v>2663</v>
          </cell>
          <cell r="N303" t="str">
            <v>01 - 29 MARCH</v>
          </cell>
          <cell r="O303" t="str">
            <v>(NB20260315)_Mar_Sellout Support_RF _Asus_Select</v>
          </cell>
        </row>
        <row r="304">
          <cell r="C304" t="str">
            <v>RF K513EA-L512TS</v>
          </cell>
          <cell r="E304" t="str">
            <v>K513EA-L512TS</v>
          </cell>
          <cell r="F304" t="str">
            <v>90NB0SG1-M16330</v>
          </cell>
          <cell r="G304" t="str">
            <v>i5-1135G7//16G/512G PCIe SSD/INDIE BLACK/15.6"FHD OLED/1Y international warranty + McAfee/Office H&amp;S/Backlit KB/Finger Print</v>
          </cell>
          <cell r="H304">
            <v>32893</v>
          </cell>
          <cell r="I304">
            <v>26621</v>
          </cell>
          <cell r="J304">
            <v>29603</v>
          </cell>
          <cell r="K304">
            <v>23958</v>
          </cell>
          <cell r="L304">
            <v>3290</v>
          </cell>
          <cell r="M304">
            <v>2663</v>
          </cell>
          <cell r="N304" t="str">
            <v>01 - 29 MARCH</v>
          </cell>
          <cell r="O304" t="str">
            <v>(NB20260315)_Mar_Sellout Support_RF _Asus_Select</v>
          </cell>
        </row>
        <row r="305">
          <cell r="C305" t="str">
            <v>RF K513EA-L512WS</v>
          </cell>
          <cell r="E305" t="str">
            <v>K513EA-L512WS</v>
          </cell>
          <cell r="F305" t="str">
            <v>90NB0SG1-M43750</v>
          </cell>
          <cell r="G305" t="str">
            <v>i5-1135G7//16G/512G PCIe SSD/INDIE BLACK/15.6"FHD OLED/1Y international warranty + McAfee/Win 11 + Office H&amp;S/Backlit KB/Finger Print</v>
          </cell>
          <cell r="H305">
            <v>32893</v>
          </cell>
          <cell r="I305">
            <v>26621</v>
          </cell>
          <cell r="J305">
            <v>29603</v>
          </cell>
          <cell r="K305">
            <v>23958</v>
          </cell>
          <cell r="L305">
            <v>3290</v>
          </cell>
          <cell r="M305">
            <v>2663</v>
          </cell>
          <cell r="N305" t="str">
            <v>01 - 29 MARCH</v>
          </cell>
          <cell r="O305" t="str">
            <v>(NB20260315)_Mar_Sellout Support_RF _Asus_Select</v>
          </cell>
        </row>
        <row r="306">
          <cell r="C306" t="str">
            <v>RF K513EP-BQ512TS</v>
          </cell>
          <cell r="E306" t="str">
            <v>K513EP-BQ512TS</v>
          </cell>
          <cell r="F306" t="str">
            <v>90NB0SJ1-M02350</v>
          </cell>
          <cell r="G306" t="str">
            <v>i5-1135G7/MX330/8G/1T+256G PCIe SSD/INDIE BLACK/15.6"FHD vIPS/1Y international warranty + McAfee/Office H&amp;S/Backlit KB/Finger Print</v>
          </cell>
          <cell r="H306">
            <v>32893</v>
          </cell>
          <cell r="I306">
            <v>26621</v>
          </cell>
          <cell r="J306">
            <v>29603</v>
          </cell>
          <cell r="K306">
            <v>23958</v>
          </cell>
          <cell r="L306">
            <v>3290</v>
          </cell>
          <cell r="M306">
            <v>2663</v>
          </cell>
          <cell r="N306" t="str">
            <v>01 - 29 MARCH</v>
          </cell>
          <cell r="O306" t="str">
            <v>(NB20260315)_Mar_Sellout Support_RF _Asus_Select</v>
          </cell>
        </row>
        <row r="307">
          <cell r="C307" t="str">
            <v>RF K513EP-BQ513TS</v>
          </cell>
          <cell r="E307" t="str">
            <v>K513EP-BQ513TS</v>
          </cell>
          <cell r="F307" t="str">
            <v>90NB0SJ2-M02360</v>
          </cell>
          <cell r="G307" t="str">
            <v>i5-1135G7/MX330/8G/1T+256G PCIe SSD/TRANSPARENT SILVER/15.6"FHD vIPS/1Y international warranty + McAfee/Office H&amp;S/Backlit KB/Finger Print</v>
          </cell>
          <cell r="H307">
            <v>32893</v>
          </cell>
          <cell r="I307">
            <v>26621</v>
          </cell>
          <cell r="J307">
            <v>29603</v>
          </cell>
          <cell r="K307">
            <v>23958</v>
          </cell>
          <cell r="L307">
            <v>3290</v>
          </cell>
          <cell r="M307">
            <v>2663</v>
          </cell>
          <cell r="N307" t="str">
            <v>01 - 29 MARCH</v>
          </cell>
          <cell r="O307" t="str">
            <v>(NB20260315)_Mar_Sellout Support_RF _Asus_Select</v>
          </cell>
        </row>
        <row r="308">
          <cell r="C308" t="str">
            <v>RF X1404VA-NK321WS</v>
          </cell>
          <cell r="E308" t="str">
            <v>X1404VA-NK321WS</v>
          </cell>
          <cell r="F308" t="str">
            <v>90NB10I1-M001S0</v>
          </cell>
          <cell r="G308" t="str">
            <v xml:space="preserve">Intel® Core™ i3-1315U 8GB DDR4  / 512GB PCIe® 4.0 SSD /14.0-inch/FHD (1920 x 1080) 16:9 16:9  /  / Quiet Blue /  /  / FingerPrint /  / Win 11 Home / MS Office / </v>
          </cell>
          <cell r="H308">
            <v>31192</v>
          </cell>
          <cell r="I308">
            <v>25244</v>
          </cell>
          <cell r="J308">
            <v>29792</v>
          </cell>
          <cell r="K308">
            <v>24111</v>
          </cell>
          <cell r="L308">
            <v>1400</v>
          </cell>
          <cell r="M308">
            <v>1133</v>
          </cell>
          <cell r="N308" t="str">
            <v>01 - 29 MARCH</v>
          </cell>
          <cell r="O308" t="str">
            <v>(NB20260315)_Mar_Sellout Support_RF _Asus_Select</v>
          </cell>
        </row>
        <row r="309">
          <cell r="C309" t="str">
            <v>RF X1404VA-NK322WS</v>
          </cell>
          <cell r="E309" t="str">
            <v>X1404VA-NK322WS</v>
          </cell>
          <cell r="F309" t="str">
            <v>90NB10I2-M001T0</v>
          </cell>
          <cell r="G309" t="str">
            <v xml:space="preserve">Intel® Core™ i3-1315U 8GB DDR4  / 512GB PCIe® 4.0 SSD / 14.0-inch/FHD (1920 x 1080) 16:9  /  / COOL SILVER /  /  / FingerPrint /  / Win 11 Home / MS Office / </v>
          </cell>
          <cell r="H309">
            <v>31192</v>
          </cell>
          <cell r="I309">
            <v>25244</v>
          </cell>
          <cell r="J309">
            <v>29792</v>
          </cell>
          <cell r="K309">
            <v>24111</v>
          </cell>
          <cell r="L309">
            <v>1400</v>
          </cell>
          <cell r="M309">
            <v>1133</v>
          </cell>
          <cell r="N309" t="str">
            <v>01 - 29 MARCH</v>
          </cell>
          <cell r="O309" t="str">
            <v>(NB20260315)_Mar_Sellout Support_RF _Asus_Select</v>
          </cell>
        </row>
        <row r="310">
          <cell r="C310" t="str">
            <v>RF X1404VA-NK760WS</v>
          </cell>
          <cell r="E310" t="str">
            <v>X1404VA-NK760WS</v>
          </cell>
          <cell r="F310" t="str">
            <v>90NB10I1-M00W80</v>
          </cell>
          <cell r="G310" t="str">
            <v xml:space="preserve">Intel® Core™ i3-1315U  / 8GB DDR4  / 512GB PCIe® 4.0 SSD /14.0-inch/FHD (1920 x 1080) 16:9  /  / Quiet Blue / Backlit KB / Win 11 Home / Office Home 2024 &amp; M365 Basic 1 Year / </v>
          </cell>
          <cell r="H310">
            <v>31192</v>
          </cell>
          <cell r="I310">
            <v>25244</v>
          </cell>
          <cell r="J310">
            <v>29792</v>
          </cell>
          <cell r="K310">
            <v>24111</v>
          </cell>
          <cell r="L310">
            <v>1400</v>
          </cell>
          <cell r="M310">
            <v>1133</v>
          </cell>
          <cell r="N310" t="str">
            <v>01 - 29 MARCH</v>
          </cell>
          <cell r="O310" t="str">
            <v>(NB20260315)_Mar_Sellout Support_RF _Asus_Select</v>
          </cell>
        </row>
        <row r="311">
          <cell r="C311" t="str">
            <v>RF X1404VA-NK761WS</v>
          </cell>
          <cell r="E311" t="str">
            <v>X1404VA-NK761WS</v>
          </cell>
          <cell r="F311" t="str">
            <v>90NB10I2-M00W90</v>
          </cell>
          <cell r="G311" t="str">
            <v xml:space="preserve">Intel® Core™ i3-1315U  / 8GB DDR4  / 512GB PCIe® 4.0 SSD /14.0-inch/FHD (1920 x 1080) 16:9 /  / COOL SILVER / Backlit KB / Win 11 Home / Office Home 2024 &amp; M365 Basic 1 Year / </v>
          </cell>
          <cell r="H311">
            <v>31192</v>
          </cell>
          <cell r="I311">
            <v>25244</v>
          </cell>
          <cell r="J311">
            <v>29792</v>
          </cell>
          <cell r="K311">
            <v>24111</v>
          </cell>
          <cell r="L311">
            <v>1400</v>
          </cell>
          <cell r="M311">
            <v>1133</v>
          </cell>
          <cell r="N311" t="str">
            <v>01 - 29 MARCH</v>
          </cell>
          <cell r="O311" t="str">
            <v>(NB20260315)_Mar_Sellout Support_RF _Asus_Select</v>
          </cell>
        </row>
        <row r="312">
          <cell r="C312" t="str">
            <v>RF X1504VA-NJ320WS</v>
          </cell>
          <cell r="E312" t="str">
            <v>X1504VA-NJ320WS</v>
          </cell>
          <cell r="F312" t="str">
            <v>90NB14G2-M00010</v>
          </cell>
          <cell r="G312" t="str">
            <v xml:space="preserve">Intel® Core™ i3-1315U  / 8GB DDR4  / 512GB PCIe® 4.0 SSD / 15.6-inch / FHD (1920 x 1080) 16:9  /  / COOL SILVER / Backlit KB / Win 11 Home / MS Office / </v>
          </cell>
          <cell r="H312">
            <v>31192</v>
          </cell>
          <cell r="I312">
            <v>25244</v>
          </cell>
          <cell r="J312">
            <v>29792</v>
          </cell>
          <cell r="K312">
            <v>24111</v>
          </cell>
          <cell r="L312">
            <v>1400</v>
          </cell>
          <cell r="M312">
            <v>1133</v>
          </cell>
          <cell r="N312" t="str">
            <v>01 - 29 MARCH</v>
          </cell>
          <cell r="O312" t="str">
            <v>(NB20260315)_Mar_Sellout Support_RF _Asus_Select</v>
          </cell>
        </row>
        <row r="313">
          <cell r="C313" t="str">
            <v>RF X1504VA-NJ321WS</v>
          </cell>
          <cell r="E313" t="str">
            <v>X1504VA-NJ321WS</v>
          </cell>
          <cell r="F313" t="str">
            <v>90NB10J1-M00CN0</v>
          </cell>
          <cell r="G313" t="str">
            <v xml:space="preserve">Intel® Core™ i3-1315U 8GB DDR4  / 512GB PCIe® 4.0 SSD / 15.6-inch / FHD (1920 x 1080) 16:9  /  / Quiet Blue / Backlit KB / Win 11 Home / MS Office / </v>
          </cell>
          <cell r="H313">
            <v>31192</v>
          </cell>
          <cell r="I313">
            <v>25244</v>
          </cell>
          <cell r="J313">
            <v>29792</v>
          </cell>
          <cell r="K313">
            <v>24111</v>
          </cell>
          <cell r="L313">
            <v>1400</v>
          </cell>
          <cell r="M313">
            <v>1133</v>
          </cell>
          <cell r="N313" t="str">
            <v>01 - 29 MARCH</v>
          </cell>
          <cell r="O313" t="str">
            <v>(NB20260315)_Mar_Sellout Support_RF _Asus_Select</v>
          </cell>
        </row>
        <row r="314">
          <cell r="C314" t="str">
            <v>RF X1504VA-NJ322WS</v>
          </cell>
          <cell r="E314" t="str">
            <v>X1504VA-NJ322WS</v>
          </cell>
          <cell r="F314" t="str">
            <v>90NB10J2-M00CP0</v>
          </cell>
          <cell r="G314" t="str">
            <v xml:space="preserve">Intel® Core™ i3-1315U 8GB DDR4  / 512GB PCIe® 4.0 SSD / 15.6-inch / FHD (1920 x 1080) 16:9  /  / COOL SILVER / Backlit KB / Win 11 Home / MS Office / </v>
          </cell>
          <cell r="H314">
            <v>31192</v>
          </cell>
          <cell r="I314">
            <v>25244</v>
          </cell>
          <cell r="J314">
            <v>29792</v>
          </cell>
          <cell r="K314">
            <v>24111</v>
          </cell>
          <cell r="L314">
            <v>1400</v>
          </cell>
          <cell r="M314">
            <v>1133</v>
          </cell>
          <cell r="N314" t="str">
            <v>01 - 29 MARCH</v>
          </cell>
          <cell r="O314" t="str">
            <v>(NB20260315)_Mar_Sellout Support_RF _Asus_Select</v>
          </cell>
        </row>
        <row r="315">
          <cell r="C315" t="str">
            <v>RF X1504VA-NJ323WS</v>
          </cell>
          <cell r="E315" t="str">
            <v>X1504VA-NJ323WS</v>
          </cell>
          <cell r="F315" t="str">
            <v>90NB10J1-M00CR0</v>
          </cell>
          <cell r="G315" t="str">
            <v xml:space="preserve">Intel® Core™ i3-1315U 8GB DDR4  / 512GB PCIe® 4.0 SSD / 15.6-inch / FHD (1920 x 1080) 16:9  /  / Quiet Blue /  /  / FingerPrint /  / Win 11 Home / MS Office / </v>
          </cell>
          <cell r="H315">
            <v>31192</v>
          </cell>
          <cell r="I315">
            <v>25244</v>
          </cell>
          <cell r="J315">
            <v>29792</v>
          </cell>
          <cell r="K315">
            <v>24111</v>
          </cell>
          <cell r="L315">
            <v>1400</v>
          </cell>
          <cell r="M315">
            <v>1133</v>
          </cell>
          <cell r="N315" t="str">
            <v>01 - 29 MARCH</v>
          </cell>
          <cell r="O315" t="str">
            <v>(NB20260315)_Mar_Sellout Support_RF _Asus_Select</v>
          </cell>
        </row>
        <row r="316">
          <cell r="C316" t="str">
            <v>RF X1504VA-NJ324WS</v>
          </cell>
          <cell r="E316" t="str">
            <v>X1504VA-NJ324WS</v>
          </cell>
          <cell r="F316" t="str">
            <v>90NB10J2-M00CS0</v>
          </cell>
          <cell r="G316" t="str">
            <v xml:space="preserve">Intel® Core™ i3-1315U 8GB DDR4  / 512GB PCIe® 4.0 SSD / 15.6-inch / FHD (1920 x 1080) 16:9  /  / COOL SILVER /  /  / FingerPrint /  / Win 11 Home / MS Office / </v>
          </cell>
          <cell r="H316">
            <v>31192</v>
          </cell>
          <cell r="I316">
            <v>25244</v>
          </cell>
          <cell r="J316">
            <v>29792</v>
          </cell>
          <cell r="K316">
            <v>24111</v>
          </cell>
          <cell r="L316">
            <v>1400</v>
          </cell>
          <cell r="M316">
            <v>1133</v>
          </cell>
          <cell r="N316" t="str">
            <v>01 - 29 MARCH</v>
          </cell>
          <cell r="O316" t="str">
            <v>(NB20260315)_Mar_Sellout Support_RF _Asus_Select</v>
          </cell>
        </row>
        <row r="317">
          <cell r="C317" t="str">
            <v>RF X1504VA-NJ3320WS</v>
          </cell>
          <cell r="E317" t="str">
            <v>X1504VA-NJ3320WS</v>
          </cell>
          <cell r="F317" t="str">
            <v>90NB10J2-M021F0</v>
          </cell>
          <cell r="G317" t="str">
            <v xml:space="preserve">Intel® Core™ i3-1315U  / 8GB DDR4  / 512GB PCIe® 4.0 SSD / 15.6-inch / FHD (1920 x 1080) 16:9  /  / COOL SILVER / Backlit KB / Win 11 Home / OFFICE HOME 2024 (IN)+M365 BASIC / </v>
          </cell>
          <cell r="H317">
            <v>31192</v>
          </cell>
          <cell r="I317">
            <v>25244</v>
          </cell>
          <cell r="J317">
            <v>29792</v>
          </cell>
          <cell r="K317">
            <v>24111</v>
          </cell>
          <cell r="L317">
            <v>1400</v>
          </cell>
          <cell r="M317">
            <v>1133</v>
          </cell>
          <cell r="N317" t="str">
            <v>01 - 29 MARCH</v>
          </cell>
          <cell r="O317" t="str">
            <v>(NB20260315)_Mar_Sellout Support_RF _Asus_Select</v>
          </cell>
        </row>
        <row r="318">
          <cell r="C318" t="str">
            <v>RF X1504VA-NJ3321WS</v>
          </cell>
          <cell r="E318" t="str">
            <v>X1504VA-NJ3321WS</v>
          </cell>
          <cell r="F318" t="str">
            <v>90NB10J1-M021H0</v>
          </cell>
          <cell r="G318" t="str">
            <v xml:space="preserve">Intel® Core™ i3-1315U  / 8GB DDR4  / 512GB PCIe® 4.0 SSD / 15.6-inch / FHD (1920 x 1080) 16:9  /  / Quiet Blue / Backlit KB / Win 11 Home / Office Home 2024 &amp; M365 Basic 1 Year / </v>
          </cell>
          <cell r="H318">
            <v>31192</v>
          </cell>
          <cell r="I318">
            <v>25244</v>
          </cell>
          <cell r="J318">
            <v>29792</v>
          </cell>
          <cell r="K318">
            <v>24111</v>
          </cell>
          <cell r="L318">
            <v>1400</v>
          </cell>
          <cell r="M318">
            <v>1133</v>
          </cell>
          <cell r="N318" t="str">
            <v>01 - 29 MARCH</v>
          </cell>
          <cell r="O318" t="str">
            <v>(NB20260315)_Mar_Sellout Support_RF _Asus_Select</v>
          </cell>
        </row>
        <row r="319">
          <cell r="C319" t="str">
            <v>RF X1504VA-NJ3700WS</v>
          </cell>
          <cell r="E319" t="str">
            <v>X1504VA-NJ3700WS</v>
          </cell>
          <cell r="F319" t="str">
            <v>90NB10J3-M042T0</v>
          </cell>
          <cell r="G319" t="str">
            <v xml:space="preserve">Intel® Core™ i3-1315U  / 8GB DDR4  / 512GB PCIe® 4.0 SSD / 15.6-inch / FHD (1920 x 1080) 16:9  /  / Terra Cotta / Backlit KB / Win 11 Home / OFFICE HOME 2024 (IN)+M365 BASIC / </v>
          </cell>
          <cell r="H319">
            <v>31192</v>
          </cell>
          <cell r="I319">
            <v>25244</v>
          </cell>
          <cell r="J319">
            <v>29792</v>
          </cell>
          <cell r="K319">
            <v>24111</v>
          </cell>
          <cell r="L319">
            <v>1400</v>
          </cell>
          <cell r="M319">
            <v>1133</v>
          </cell>
          <cell r="N319" t="str">
            <v>01 - 29 MARCH</v>
          </cell>
          <cell r="O319" t="str">
            <v>(NB20260315)_Mar_Sellout Support_RF _Asus_Select</v>
          </cell>
        </row>
        <row r="320">
          <cell r="C320" t="str">
            <v>RF E1504FA-LK321WS</v>
          </cell>
          <cell r="E320" t="str">
            <v>E1504FA-LK321WS</v>
          </cell>
          <cell r="F320" t="str">
            <v>90NB0ZR1-M00J10</v>
          </cell>
          <cell r="G320" t="str">
            <v xml:space="preserve">AMD Ryzen™ 3 7320U /  /  / 8GB LPDDR5 / 512GB PCIe® 3.0 SSD / 15.6-inch / FHD (1920 x 1080) OLED 16:9  /  / Cool Silver / Backlit KB / Win 11 Home / MS Office / </v>
          </cell>
          <cell r="H320">
            <v>33592</v>
          </cell>
          <cell r="I320">
            <v>27187</v>
          </cell>
          <cell r="J320">
            <v>30092</v>
          </cell>
          <cell r="K320">
            <v>24354</v>
          </cell>
          <cell r="L320">
            <v>3500</v>
          </cell>
          <cell r="M320">
            <v>2833</v>
          </cell>
          <cell r="N320" t="str">
            <v>01 - 29 MARCH</v>
          </cell>
          <cell r="O320" t="str">
            <v>(NB20260315)_Mar_Sellout Support_RF _Asus_Select</v>
          </cell>
        </row>
        <row r="321">
          <cell r="C321" t="str">
            <v>RF E1504FA-LK322WS</v>
          </cell>
          <cell r="E321" t="str">
            <v>E1504FA-LK322WS</v>
          </cell>
          <cell r="F321" t="str">
            <v>90NB0ZR2-M00J00</v>
          </cell>
          <cell r="G321" t="str">
            <v xml:space="preserve">AMD Ryzen™ 3 7320U /  /  / 8GB LPDDR5 / 512GB PCIe® 3.0 SSD / 15.6-inch / FHD (1920 x 1080) OLED 16:9  /  / Mixed Black / Backlit KB / Win 11 Home / MS Office / </v>
          </cell>
          <cell r="H321">
            <v>33592</v>
          </cell>
          <cell r="I321">
            <v>27187</v>
          </cell>
          <cell r="J321">
            <v>30092</v>
          </cell>
          <cell r="K321">
            <v>24354</v>
          </cell>
          <cell r="L321">
            <v>3500</v>
          </cell>
          <cell r="M321">
            <v>2833</v>
          </cell>
          <cell r="N321" t="str">
            <v>01 - 29 MARCH</v>
          </cell>
          <cell r="O321" t="str">
            <v>(NB20260315)_Mar_Sellout Support_RF _Asus_Select</v>
          </cell>
        </row>
        <row r="322">
          <cell r="C322" t="str">
            <v>RF E1504FA-LK323WS</v>
          </cell>
          <cell r="E322" t="str">
            <v>E1504FA-LK323WS</v>
          </cell>
          <cell r="F322" t="str">
            <v>90NB0ZR3-M00HZ0</v>
          </cell>
          <cell r="G322" t="str">
            <v xml:space="preserve">AMD Ryzen™ 3 7320U /  /  / 8GB LPDDR5 / 512GB PCIe® 3.0 SSD / 15.6-inch / FHD (1920 x 1080) OLED 16:9  /  / Grey Green / Backlit KB / Win 11 Home / MS Office / </v>
          </cell>
          <cell r="H322">
            <v>33592</v>
          </cell>
          <cell r="I322">
            <v>27187</v>
          </cell>
          <cell r="J322">
            <v>30092</v>
          </cell>
          <cell r="K322">
            <v>24354</v>
          </cell>
          <cell r="L322">
            <v>3500</v>
          </cell>
          <cell r="M322">
            <v>2833</v>
          </cell>
          <cell r="N322" t="str">
            <v>01 - 29 MARCH</v>
          </cell>
          <cell r="O322" t="str">
            <v>(NB20260315)_Mar_Sellout Support_RF _Asus_Select</v>
          </cell>
        </row>
        <row r="323">
          <cell r="C323" t="str">
            <v>RF KM513UA-BQ712TS</v>
          </cell>
          <cell r="E323" t="str">
            <v>KM513UA-BQ712TS</v>
          </cell>
          <cell r="F323" t="str">
            <v>90NB0TP1-M00720</v>
          </cell>
          <cell r="G323" t="str">
            <v>R7-5700U//8G/1TB HDD+256G PCIe SSD/INDIE BLACK/15.6"FHD/1Y international warranty//Finger Print/BK KB</v>
          </cell>
          <cell r="H323">
            <v>34993</v>
          </cell>
          <cell r="I323">
            <v>28321</v>
          </cell>
          <cell r="J323">
            <v>30093</v>
          </cell>
          <cell r="K323">
            <v>24355</v>
          </cell>
          <cell r="L323">
            <v>4900</v>
          </cell>
          <cell r="M323">
            <v>3966</v>
          </cell>
          <cell r="N323" t="str">
            <v>01 - 29 MARCH</v>
          </cell>
          <cell r="O323" t="str">
            <v>(NB20260315)_Mar_Sellout Support_RF _Asus_Select</v>
          </cell>
        </row>
        <row r="324">
          <cell r="C324" t="str">
            <v>RF KM513UA-L711WS</v>
          </cell>
          <cell r="E324" t="str">
            <v>KM513UA-L711WS</v>
          </cell>
          <cell r="F324" t="str">
            <v>90NB0TP3-M003U0</v>
          </cell>
          <cell r="G324" t="str">
            <v xml:space="preserve">R7 5700U /  / 16GB / 512GB SSD / Hearty Gold / 15.6-inch / FHD OLED  / 1Y International Warranty / McAfee / Win 11 / Office H&amp;S 2021 / FingerPrint / Backlit KB /  / </v>
          </cell>
          <cell r="H324">
            <v>37093</v>
          </cell>
          <cell r="I324">
            <v>30020</v>
          </cell>
          <cell r="J324">
            <v>30093</v>
          </cell>
          <cell r="K324">
            <v>24355</v>
          </cell>
          <cell r="L324">
            <v>7000</v>
          </cell>
          <cell r="M324">
            <v>5665</v>
          </cell>
          <cell r="N324" t="str">
            <v>01 - 29 MARCH</v>
          </cell>
          <cell r="O324" t="str">
            <v>(NB20260315)_Mar_Sellout Support_RF _Asus_Select</v>
          </cell>
        </row>
        <row r="325">
          <cell r="C325" t="str">
            <v>RF KM513UA-L713WS</v>
          </cell>
          <cell r="E325" t="str">
            <v>KM513UA-L713WS</v>
          </cell>
          <cell r="F325" t="str">
            <v>90NB0TP2-M003W0</v>
          </cell>
          <cell r="G325" t="str">
            <v xml:space="preserve">R7 5700U /  / 16GB / 512GB SSD / Transparent Silver / 15.6-inch / FHD OLED  / 1Y International Warranty / McAfee / Win 11 / Office H&amp;S 2021 / FingerPrint / Backlit KB /  / </v>
          </cell>
          <cell r="H325">
            <v>37093</v>
          </cell>
          <cell r="I325">
            <v>30020</v>
          </cell>
          <cell r="J325">
            <v>30093</v>
          </cell>
          <cell r="K325">
            <v>24355</v>
          </cell>
          <cell r="L325">
            <v>7000</v>
          </cell>
          <cell r="M325">
            <v>5665</v>
          </cell>
          <cell r="N325" t="str">
            <v>01 - 29 MARCH</v>
          </cell>
          <cell r="O325" t="str">
            <v>(NB20260315)_Mar_Sellout Support_RF _Asus_Select</v>
          </cell>
        </row>
        <row r="326">
          <cell r="C326" t="str">
            <v>RF UX425EA-BM701TS</v>
          </cell>
          <cell r="E326" t="str">
            <v>UX425EA-BM701TS</v>
          </cell>
          <cell r="F326" t="str">
            <v>90NB0SM1-M04840</v>
          </cell>
          <cell r="G326" t="str">
            <v>i7-1165G7//16G/512G PCIe SSD/PINE GREY/14.0"FHD IPS/1Y international warranty + MacFee/Office H&amp;S/NUMPAD/Zenbook Sleeve/Audio Jack Dongle</v>
          </cell>
          <cell r="H326">
            <v>33594</v>
          </cell>
          <cell r="I326">
            <v>27188</v>
          </cell>
          <cell r="J326">
            <v>30094</v>
          </cell>
          <cell r="K326">
            <v>24356</v>
          </cell>
          <cell r="L326">
            <v>3500</v>
          </cell>
          <cell r="M326">
            <v>2832</v>
          </cell>
          <cell r="N326" t="str">
            <v>01 - 29 MARCH</v>
          </cell>
          <cell r="O326" t="str">
            <v>(NB20260315)_Mar_Sellout Support_RF _Asus_Select</v>
          </cell>
        </row>
        <row r="327">
          <cell r="C327" t="str">
            <v>RF UX325EA-EG501TS</v>
          </cell>
          <cell r="E327" t="str">
            <v>UX325EA-EG501TS</v>
          </cell>
          <cell r="F327" t="str">
            <v>90NB0SL2-M03160</v>
          </cell>
          <cell r="G327" t="str">
            <v>i5-1135G7//8G/512G PCIe SSD/LILAC MIST/13.3"FHD IPS/1Y international warranty + MacFee/Office H&amp;S/NUMPAD/Zenbook Sleeve/Audio Jack Dongle</v>
          </cell>
          <cell r="H327">
            <v>34194</v>
          </cell>
          <cell r="I327">
            <v>27674</v>
          </cell>
          <cell r="J327">
            <v>30204</v>
          </cell>
          <cell r="K327">
            <v>24445</v>
          </cell>
          <cell r="L327">
            <v>3990</v>
          </cell>
          <cell r="M327">
            <v>3229</v>
          </cell>
          <cell r="N327" t="str">
            <v>01 - 29 MARCH</v>
          </cell>
          <cell r="O327" t="str">
            <v>(NB20260315)_Mar_Sellout Support_RF _Asus_Select</v>
          </cell>
        </row>
        <row r="328">
          <cell r="C328" t="str">
            <v>RF UX325EA-KG502WS</v>
          </cell>
          <cell r="E328" t="str">
            <v>UX325EA-KG502WS</v>
          </cell>
          <cell r="F328" t="str">
            <v>90NB0SL1-M00AJ0</v>
          </cell>
          <cell r="G328" t="str">
            <v>i5-1135G7//8G/512G PCIe SSD/PINE GREY/13.3"FHD OLED/1Y international warranty + McAfee/Office H&amp;S/ /Zenbook Sleeve/Audio Jack Dongle</v>
          </cell>
          <cell r="H328">
            <v>34194</v>
          </cell>
          <cell r="I328">
            <v>27674</v>
          </cell>
          <cell r="J328">
            <v>30204</v>
          </cell>
          <cell r="K328">
            <v>24445</v>
          </cell>
          <cell r="L328">
            <v>3990</v>
          </cell>
          <cell r="M328">
            <v>3229</v>
          </cell>
          <cell r="N328" t="str">
            <v>01 - 29 MARCH</v>
          </cell>
          <cell r="O328" t="str">
            <v>(NB20260315)_Mar_Sellout Support_RF _Asus_Select</v>
          </cell>
        </row>
        <row r="329">
          <cell r="C329" t="str">
            <v>RF X1404VA-EB321WS</v>
          </cell>
          <cell r="E329" t="str">
            <v>X1404VA-EB321WS</v>
          </cell>
          <cell r="F329" t="str">
            <v>90NB10I2-M01HM0</v>
          </cell>
          <cell r="G329" t="str">
            <v xml:space="preserve">Intel® Core™ i3-1315U  / 8GB DDR4  / 512GB PCIe® 4.0 SSD / 14.0-inch / 14" FHD ANTI-GLARE NON-TOUCH,250NITS,NTSC:45%,VIPS-NB(EB) /  / COOL SILVER / Backlit KB / Win 11 Home / OFFICE HOME 2024 (IN)+M365 BASIC / </v>
          </cell>
          <cell r="H329">
            <v>31992</v>
          </cell>
          <cell r="I329">
            <v>25892</v>
          </cell>
          <cell r="J329">
            <v>30592</v>
          </cell>
          <cell r="K329">
            <v>24759</v>
          </cell>
          <cell r="L329">
            <v>1400</v>
          </cell>
          <cell r="M329">
            <v>1133</v>
          </cell>
          <cell r="N329" t="str">
            <v>01 - 29 MARCH</v>
          </cell>
          <cell r="O329" t="str">
            <v>(NB20260315)_Mar_Sellout Support_RF _Asus_Select</v>
          </cell>
        </row>
        <row r="330">
          <cell r="C330" t="str">
            <v>RF X1404VA-EB322WS</v>
          </cell>
          <cell r="E330" t="str">
            <v>X1404VA-EB322WS</v>
          </cell>
          <cell r="F330" t="str">
            <v>90NB10I1-M01HL0</v>
          </cell>
          <cell r="G330" t="str">
            <v xml:space="preserve">Intel® Core™ i3-1315U  / 8GB DDR4  / 512GB PCIe® 4.0 SSD / 14.0-inch / 14" FHD ANTI-GLARE NON-TOUCH,250NITS,NTSC:45%,VIPS-NB(EB) /  / Quiet Blue / Backlit KB / Win 11 Home / OFFICE HOME 2024 (IN)+M365 BASIC / </v>
          </cell>
          <cell r="H330">
            <v>31992</v>
          </cell>
          <cell r="I330">
            <v>25892</v>
          </cell>
          <cell r="J330">
            <v>30592</v>
          </cell>
          <cell r="K330">
            <v>24759</v>
          </cell>
          <cell r="L330">
            <v>1400</v>
          </cell>
          <cell r="M330">
            <v>1133</v>
          </cell>
          <cell r="N330" t="str">
            <v>01 - 29 MARCH</v>
          </cell>
          <cell r="O330" t="str">
            <v>(NB20260315)_Mar_Sellout Support_RF _Asus_Select</v>
          </cell>
        </row>
        <row r="331">
          <cell r="C331" t="str">
            <v>RF X1404VA-EB323WS</v>
          </cell>
          <cell r="E331" t="str">
            <v>X1404VA-EB323WS</v>
          </cell>
          <cell r="F331" t="str">
            <v>90NB10I3-M01KY0</v>
          </cell>
          <cell r="G331" t="str">
            <v xml:space="preserve">Intel® Core™ i3-1315U  / 8GB DDR4  / 512GB PCIe® 4.0 SSD / 14.0-inch / 14" FHD ANTI-GLARE NON-TOUCH,250NITS,NTSC:45%,VIPS-NB(EB) /  / Terra Cotta / Backlit KB / Win 11 Home / OFFICE HOME 2024 (IN)+M365 BASIC / </v>
          </cell>
          <cell r="H331">
            <v>31992</v>
          </cell>
          <cell r="I331">
            <v>25892</v>
          </cell>
          <cell r="J331">
            <v>30592</v>
          </cell>
          <cell r="K331">
            <v>24759</v>
          </cell>
          <cell r="L331">
            <v>1400</v>
          </cell>
          <cell r="M331">
            <v>1133</v>
          </cell>
          <cell r="N331" t="str">
            <v>01 - 29 MARCH</v>
          </cell>
          <cell r="O331" t="str">
            <v>(NB20260315)_Mar_Sellout Support_RF _Asus_Select</v>
          </cell>
        </row>
        <row r="332">
          <cell r="C332" t="str">
            <v>RF X1504VA-BQ321WS</v>
          </cell>
          <cell r="E332" t="str">
            <v>X1504VA-BQ321WS</v>
          </cell>
          <cell r="F332" t="str">
            <v>90NB10J2-M03CX0</v>
          </cell>
          <cell r="G332" t="str">
            <v xml:space="preserve">Intel® Core™ i3-1315U  / 8GB DDR4  / 512GB PCIe® 4.0 SSD / 15.6-inch / 15.6" FHD ANTI-GLARE NON-TOUCH,250NITS,NTSC:45%,VIPS-NB(BQ) /  / COOL SILVER / Backlit KB / Win 11 Home / MS Office 2024 + MSO 365 / </v>
          </cell>
          <cell r="H332">
            <v>31992</v>
          </cell>
          <cell r="I332">
            <v>25892</v>
          </cell>
          <cell r="J332">
            <v>30592</v>
          </cell>
          <cell r="K332">
            <v>24759</v>
          </cell>
          <cell r="L332">
            <v>1400</v>
          </cell>
          <cell r="M332">
            <v>1133</v>
          </cell>
          <cell r="N332" t="str">
            <v>01 - 29 MARCH</v>
          </cell>
          <cell r="O332" t="str">
            <v>(NB20260315)_Mar_Sellout Support_RF _Asus_Select</v>
          </cell>
        </row>
        <row r="333">
          <cell r="C333" t="str">
            <v>RF X1504VA-BQ322WS</v>
          </cell>
          <cell r="E333" t="str">
            <v>X1504VA-BQ322WS</v>
          </cell>
          <cell r="F333" t="str">
            <v>90NB10J1-M03TF0</v>
          </cell>
          <cell r="G333" t="str">
            <v xml:space="preserve">Intel® Core™ i3-1315U  / 8GB DDR4  / 512GB PCIe® 4.0 SSD / 15.6-inch / 15.6" FHD ANTI-GLARE NON-TOUCH,250NITS,NTSC:45%,VIPS-NB(BQ) /  / Quiet Blue / Backlit KB / Win 11 Home / MS Office 2024 + MSO 365 / </v>
          </cell>
          <cell r="H333">
            <v>31992</v>
          </cell>
          <cell r="I333">
            <v>25892</v>
          </cell>
          <cell r="J333">
            <v>30592</v>
          </cell>
          <cell r="K333">
            <v>24759</v>
          </cell>
          <cell r="L333">
            <v>1400</v>
          </cell>
          <cell r="M333">
            <v>1133</v>
          </cell>
          <cell r="N333" t="str">
            <v>01 - 29 MARCH</v>
          </cell>
          <cell r="O333" t="str">
            <v>(NB20260315)_Mar_Sellout Support_RF _Asus_Select</v>
          </cell>
        </row>
        <row r="334">
          <cell r="C334" t="str">
            <v>RF X1504VA-BQ323WS</v>
          </cell>
          <cell r="E334" t="str">
            <v>X1504VA-BQ323WS</v>
          </cell>
          <cell r="F334" t="str">
            <v>90NB10J3-M041M0</v>
          </cell>
          <cell r="G334" t="str">
            <v xml:space="preserve">Intel® Core™ i3-1315U  / 8GB DDR4  / 512GB PCIe® 4.0 SSD / 15.6-inch / 15.6" FHD ANTI-GLARE NON-TOUCH,250NITS,NTSC:45%,VIPS-NB(BQ) /  / Terra Cotta / Backlit KB / Win 11 Home / MS Office 2024 + MSO 365 / </v>
          </cell>
          <cell r="H334">
            <v>31992</v>
          </cell>
          <cell r="I334">
            <v>25892</v>
          </cell>
          <cell r="J334">
            <v>30592</v>
          </cell>
          <cell r="K334">
            <v>24759</v>
          </cell>
          <cell r="L334">
            <v>1400</v>
          </cell>
          <cell r="M334">
            <v>1133</v>
          </cell>
          <cell r="N334" t="str">
            <v>01 - 29 MARCH</v>
          </cell>
          <cell r="O334" t="str">
            <v>(NB20260315)_Mar_Sellout Support_RF _Asus_Select</v>
          </cell>
        </row>
        <row r="335">
          <cell r="C335" t="str">
            <v>RF X1504VA-D5321WS</v>
          </cell>
          <cell r="E335" t="str">
            <v>X1504VA-D5321WS</v>
          </cell>
          <cell r="F335" t="str">
            <v>90NB13Y2-M02C60</v>
          </cell>
          <cell r="G335" t="str">
            <v xml:space="preserve">Intel® Core™ i3-1315U  / 8GB DDR5 / 512GB PCIe® 4.0 SSD / 15.6-inch / 15.6" FHD ANTI-GLARE NON-TOUCH,250NITS,NTSC:45%,VIPS-NB(BQ) /  / COOL SILVER / Backlit KB / Win 11 Home / MS Office 2024 + MSO 365 / </v>
          </cell>
          <cell r="H335">
            <v>31992</v>
          </cell>
          <cell r="I335">
            <v>25892</v>
          </cell>
          <cell r="J335">
            <v>30592</v>
          </cell>
          <cell r="K335">
            <v>24759</v>
          </cell>
          <cell r="L335">
            <v>1400</v>
          </cell>
          <cell r="M335">
            <v>1133</v>
          </cell>
          <cell r="N335" t="str">
            <v>01 - 29 MARCH</v>
          </cell>
          <cell r="O335" t="str">
            <v>(NB20260315)_Mar_Sellout Support_RF _Asus_Select</v>
          </cell>
        </row>
        <row r="336">
          <cell r="C336" t="str">
            <v>RF UX363EA-HP502TS</v>
          </cell>
          <cell r="E336" t="str">
            <v>UX363EA-HP502TS</v>
          </cell>
          <cell r="F336" t="str">
            <v>90NB0RZ1-M09020</v>
          </cell>
          <cell r="G336" t="str">
            <v>i5-1135G7//8G/512G PCIe SSD/PINE GREY/13.3" FHD OLED TOUCH/1Y international warranty + McAfee/Office H&amp;S/Stylus/Sleeve/TypeC to Audio Jack/TPM/NUMBER PAD</v>
          </cell>
          <cell r="H336">
            <v>34194</v>
          </cell>
          <cell r="I336">
            <v>27674</v>
          </cell>
          <cell r="J336">
            <v>30694</v>
          </cell>
          <cell r="K336">
            <v>24841</v>
          </cell>
          <cell r="L336">
            <v>3500</v>
          </cell>
          <cell r="M336">
            <v>2833</v>
          </cell>
          <cell r="N336" t="str">
            <v>01 - 29 MARCH</v>
          </cell>
          <cell r="O336" t="str">
            <v>(NB20260315)_Mar_Sellout Support_RF _Asus_Select</v>
          </cell>
        </row>
        <row r="337">
          <cell r="C337" t="str">
            <v>RF M712UA-AU521TS</v>
          </cell>
          <cell r="E337" t="str">
            <v>M712UA-AU521TS</v>
          </cell>
          <cell r="F337" t="str">
            <v>90NB0TX1-M00640</v>
          </cell>
          <cell r="G337" t="str">
            <v>R5-5500U//16G/512 PCIe SSD/TRANSPARENT SILVER/17.3"FHD/1Y international warranty/Office H&amp;S+MACAFEE/Backlit KB</v>
          </cell>
          <cell r="H337">
            <v>37793</v>
          </cell>
          <cell r="I337">
            <v>30587</v>
          </cell>
          <cell r="J337">
            <v>30793</v>
          </cell>
          <cell r="K337">
            <v>24921</v>
          </cell>
          <cell r="L337">
            <v>7000</v>
          </cell>
          <cell r="M337">
            <v>5666</v>
          </cell>
          <cell r="N337" t="str">
            <v>01 - 29 MARCH</v>
          </cell>
          <cell r="O337" t="str">
            <v>(NB20260315)_Mar_Sellout Support_RF _Asus_Select</v>
          </cell>
        </row>
        <row r="338">
          <cell r="C338" t="str">
            <v>RF X1402ZA-EB512WS</v>
          </cell>
          <cell r="E338" t="str">
            <v>X1402ZA-EB512WS</v>
          </cell>
          <cell r="F338" t="str">
            <v>90NB0WP1-M004R0</v>
          </cell>
          <cell r="G338" t="str">
            <v xml:space="preserve">Intel® Core™ i5-1240P / Intel  Iris Xᵉ Graphics / 16GB DDDR4 / 512GB SSD / 14.0-inch / FHD  /  / Transparent Silver /  / FingerPrint / 42WHrs battery /  /  / MS Office  / </v>
          </cell>
          <cell r="H338">
            <v>36393</v>
          </cell>
          <cell r="I338">
            <v>29454</v>
          </cell>
          <cell r="J338">
            <v>30793</v>
          </cell>
          <cell r="K338">
            <v>24921</v>
          </cell>
          <cell r="L338">
            <v>5600</v>
          </cell>
          <cell r="M338">
            <v>4533</v>
          </cell>
          <cell r="N338" t="str">
            <v>01 - 29 MARCH</v>
          </cell>
          <cell r="O338" t="str">
            <v>(NB20260315)_Mar_Sellout Support_RF _Asus_Select</v>
          </cell>
        </row>
        <row r="339">
          <cell r="C339" t="str">
            <v>RF X1402ZA-MW512WS</v>
          </cell>
          <cell r="E339" t="str">
            <v>X1402ZA-MW512WS</v>
          </cell>
          <cell r="F339" t="str">
            <v>90NB0WP1-M00710</v>
          </cell>
          <cell r="G339" t="str">
            <v>i5-1240P/Intel  Iris Xᵉ Graphics/16G/512 PCIe SSD/TRANSPARENT SILVER/14.0" FHD touch/1Y international warranty + McAfee/Win 11 + Office H&amp;S/Finger Print</v>
          </cell>
          <cell r="H339">
            <v>44093</v>
          </cell>
          <cell r="I339">
            <v>35685</v>
          </cell>
          <cell r="J339">
            <v>30793</v>
          </cell>
          <cell r="K339">
            <v>24921</v>
          </cell>
          <cell r="L339">
            <v>13300</v>
          </cell>
          <cell r="M339">
            <v>10764</v>
          </cell>
          <cell r="N339" t="str">
            <v>01 - 29 MARCH</v>
          </cell>
          <cell r="O339" t="str">
            <v>(NB20260315)_Mar_Sellout Support_RF _Asus_Select</v>
          </cell>
        </row>
        <row r="340">
          <cell r="C340" t="str">
            <v>RF X1502ZA-EZ511WS</v>
          </cell>
          <cell r="E340" t="str">
            <v>X1502ZA-EZ511WS</v>
          </cell>
          <cell r="F340" t="str">
            <v>90NB0VX1-M006J0</v>
          </cell>
          <cell r="G340" t="str">
            <v>INTEL I5-1240P /Intel  Iris Xᵉ Graphics / 512G PCIEG3 SSD / DDR4 8G+8G RAM / 15.6 FHD TOUCH ,250NITS,NTSC:45%-NB / QUIET BLUE /  / W/FINGERPRINT / NO /  / WIN11 64B.ASIA-SEA-IN(HOME&amp;STUDENTS_MCAFEE 1Y) / WIN11 / HOME&amp;STUDENT_IN / MCAFEE_1Y</v>
          </cell>
          <cell r="H340">
            <v>37093</v>
          </cell>
          <cell r="I340">
            <v>30020</v>
          </cell>
          <cell r="J340">
            <v>30793</v>
          </cell>
          <cell r="K340">
            <v>24921</v>
          </cell>
          <cell r="L340">
            <v>6300</v>
          </cell>
          <cell r="M340">
            <v>5099</v>
          </cell>
          <cell r="N340" t="str">
            <v>01 - 29 MARCH</v>
          </cell>
          <cell r="O340" t="str">
            <v>(NB20260315)_Mar_Sellout Support_RF _Asus_Select</v>
          </cell>
        </row>
        <row r="341">
          <cell r="C341" t="str">
            <v>RF X515EA-BQ562WS</v>
          </cell>
          <cell r="E341" t="str">
            <v>X515EA-BQ562WS</v>
          </cell>
          <cell r="F341" t="str">
            <v>90NB0TY2-M26840</v>
          </cell>
          <cell r="G341" t="str">
            <v>i5-1135G7//8G/512G PCIe SSD + Optane 32G/TRANSPARENT SILVER/15.6"FHD vIPS/1Y international warranty + McAfee/Office H&amp;S/Finger Print/ Win 11</v>
          </cell>
          <cell r="H341">
            <v>34293</v>
          </cell>
          <cell r="I341">
            <v>27754</v>
          </cell>
          <cell r="J341">
            <v>30863</v>
          </cell>
          <cell r="K341">
            <v>24978</v>
          </cell>
          <cell r="L341">
            <v>3430</v>
          </cell>
          <cell r="M341">
            <v>2776</v>
          </cell>
          <cell r="N341" t="str">
            <v>01 - 29 MARCH</v>
          </cell>
          <cell r="O341" t="str">
            <v>(NB20260315)_Mar_Sellout Support_RF _Asus_Select</v>
          </cell>
        </row>
        <row r="342">
          <cell r="C342" t="str">
            <v>RF X515JP-EJ701TS</v>
          </cell>
          <cell r="E342" t="str">
            <v>X515JP-EJ701TS</v>
          </cell>
          <cell r="F342" t="str">
            <v>90NB0SS2-M02060</v>
          </cell>
          <cell r="G342" t="str">
            <v>i7-1065G7/MX330/8G/512G PCIe SSD/TRANSPARENT SILVER/15.6"FHD/1Y international warranty/Office H&amp;S/Finger Print/</v>
          </cell>
          <cell r="H342">
            <v>35394</v>
          </cell>
          <cell r="I342">
            <v>28645</v>
          </cell>
          <cell r="J342">
            <v>31194</v>
          </cell>
          <cell r="K342">
            <v>25246</v>
          </cell>
          <cell r="L342">
            <v>4200</v>
          </cell>
          <cell r="M342">
            <v>3399</v>
          </cell>
          <cell r="N342" t="str">
            <v>01 - 29 MARCH</v>
          </cell>
          <cell r="O342" t="str">
            <v>(NB20260315)_Mar_Sellout Support_RF _Asus_Select</v>
          </cell>
        </row>
        <row r="343">
          <cell r="C343" t="str">
            <v>RF TN3402QA-LZ511WS</v>
          </cell>
          <cell r="E343" t="str">
            <v>TN3402QA-LZ511WS</v>
          </cell>
          <cell r="F343" t="str">
            <v>90NB0WT2-M00190</v>
          </cell>
          <cell r="G343" t="str">
            <v>AMD R5-5600H / 512G PCIEG3 SSD / DDR4 8G+8G RAM / 14.0 FHD + TOUCH,300NITS,NTSC:45%-NB / TRANSPARENT SILVER / Backlit KB / FINGERPRINT / WITH NUMPAD / STYLUS / Win 11 /  / MS Office H&amp;S 2021 / MCAFEE_1Y</v>
          </cell>
          <cell r="H343">
            <v>34794</v>
          </cell>
          <cell r="I343">
            <v>28160</v>
          </cell>
          <cell r="J343">
            <v>31294</v>
          </cell>
          <cell r="K343">
            <v>25327</v>
          </cell>
          <cell r="L343">
            <v>3500</v>
          </cell>
          <cell r="M343">
            <v>2833</v>
          </cell>
          <cell r="N343" t="str">
            <v>01 - 29 MARCH</v>
          </cell>
          <cell r="O343" t="str">
            <v>(NB20260315)_Mar_Sellout Support_RF _Asus_Select</v>
          </cell>
        </row>
        <row r="344">
          <cell r="C344" t="str">
            <v>RF UM325SA-KG701TS</v>
          </cell>
          <cell r="E344" t="str">
            <v>UM325SA-KG701TS</v>
          </cell>
          <cell r="F344" t="str">
            <v>90NB0TQ1-M00310</v>
          </cell>
          <cell r="G344" t="str">
            <v>R7-5800U//16G/1TB PCIe SSD/PINE GREY/13.3 OLED/1Y international warranty + McAfee/Office H&amp;S/NUMPAD/Zenbook Sleeve/Audio Jack Dongle/Win 10</v>
          </cell>
          <cell r="H344">
            <v>38394</v>
          </cell>
          <cell r="I344">
            <v>31073</v>
          </cell>
          <cell r="J344">
            <v>31394</v>
          </cell>
          <cell r="K344">
            <v>25408</v>
          </cell>
          <cell r="L344">
            <v>7000</v>
          </cell>
          <cell r="M344">
            <v>5665</v>
          </cell>
          <cell r="N344" t="str">
            <v>01 - 29 MARCH</v>
          </cell>
          <cell r="O344" t="str">
            <v>(NB20260315)_Mar_Sellout Support_RF _Asus_Select</v>
          </cell>
        </row>
        <row r="345">
          <cell r="C345" t="str">
            <v>RF UM325SA-KG711TS</v>
          </cell>
          <cell r="E345" t="str">
            <v>UM325SA-KG711TS</v>
          </cell>
          <cell r="F345" t="str">
            <v>90NB0TQ1-M01870</v>
          </cell>
          <cell r="G345" t="str">
            <v>R7-5800U//16G/1TB PCIe SSD/PINE GREY/13.3 OLED/1Y international warranty + McAfee/Office H&amp;S/NUMPAD/Zenbook Sleeve/Audio Jack Dongle/Win 10</v>
          </cell>
          <cell r="H345">
            <v>38394</v>
          </cell>
          <cell r="I345">
            <v>31073</v>
          </cell>
          <cell r="J345">
            <v>31394</v>
          </cell>
          <cell r="K345">
            <v>25408</v>
          </cell>
          <cell r="L345">
            <v>7000</v>
          </cell>
          <cell r="M345">
            <v>5665</v>
          </cell>
          <cell r="N345" t="str">
            <v>01 - 29 MARCH</v>
          </cell>
          <cell r="O345" t="str">
            <v>(NB20260315)_Mar_Sellout Support_RF _Asus_Select</v>
          </cell>
        </row>
        <row r="346">
          <cell r="C346" t="str">
            <v>RF K513EA-L513WS</v>
          </cell>
          <cell r="E346" t="str">
            <v>K513EA-L513WS</v>
          </cell>
          <cell r="F346" t="str">
            <v>90NB0SG2-M43760</v>
          </cell>
          <cell r="G346" t="str">
            <v>i5-1135G7//16G/512G PCIe SSD/TRANSPARENT SILVER/15.6"FHD OLED/1Y international warranty + McAfee/Win 11 + Office H&amp;S/Backlit KB/Finger Print</v>
          </cell>
          <cell r="H346">
            <v>34993</v>
          </cell>
          <cell r="I346">
            <v>28321</v>
          </cell>
          <cell r="J346">
            <v>31493</v>
          </cell>
          <cell r="K346">
            <v>25488</v>
          </cell>
          <cell r="L346">
            <v>3500</v>
          </cell>
          <cell r="M346">
            <v>2833</v>
          </cell>
          <cell r="N346" t="str">
            <v>01 - 29 MARCH</v>
          </cell>
          <cell r="O346" t="str">
            <v>(NB20260315)_Mar_Sellout Support_RF _Asus_Select</v>
          </cell>
        </row>
        <row r="347">
          <cell r="C347" t="str">
            <v>RF KM413UA-EB502TS</v>
          </cell>
          <cell r="E347" t="str">
            <v>KM413UA-EB502TS</v>
          </cell>
          <cell r="F347" t="str">
            <v>90NB0TMF-M00900</v>
          </cell>
          <cell r="G347" t="str">
            <v>R5-5500U//8G/512G PCIe SSD/INDIE BLACK/14.0"FHD/1Y international warranty//Finger Print/BK KB/MS Office</v>
          </cell>
          <cell r="H347">
            <v>34993</v>
          </cell>
          <cell r="I347">
            <v>28321</v>
          </cell>
          <cell r="J347">
            <v>31493</v>
          </cell>
          <cell r="K347">
            <v>25488</v>
          </cell>
          <cell r="L347">
            <v>3500</v>
          </cell>
          <cell r="M347">
            <v>2833</v>
          </cell>
          <cell r="N347" t="str">
            <v>01 - 29 MARCH</v>
          </cell>
          <cell r="O347" t="str">
            <v>(NB20260315)_Mar_Sellout Support_RF _Asus_Select</v>
          </cell>
        </row>
        <row r="348">
          <cell r="C348" t="str">
            <v>RF M1603QA-MB501WS</v>
          </cell>
          <cell r="E348" t="str">
            <v>M1603QA-MB501WS</v>
          </cell>
          <cell r="F348" t="str">
            <v>90NB0Y82-M00RF 0</v>
          </cell>
          <cell r="G348" t="str">
            <v>Ryzen™ 5 5600H  / AMD Radeon™ Vega 7 Graphics / 8GB DDR4 RAM / 512GB PCIe® 3.0 SSD / 16.0-inch / 2K (1920 x 1200) 16:10 aspect ratio / Transparent Silver / FingerPrint / Backlit Chiclet Keyboard / Office Home and Student 2021 included / Windows 11 Home</v>
          </cell>
          <cell r="H348">
            <v>34993</v>
          </cell>
          <cell r="I348">
            <v>28321</v>
          </cell>
          <cell r="J348">
            <v>31493</v>
          </cell>
          <cell r="K348">
            <v>25488</v>
          </cell>
          <cell r="L348">
            <v>3500</v>
          </cell>
          <cell r="M348">
            <v>2833</v>
          </cell>
          <cell r="N348" t="str">
            <v>01 - 29 MARCH</v>
          </cell>
          <cell r="O348" t="str">
            <v>(NB20260315)_Mar_Sellout Support_RF _Asus_Select</v>
          </cell>
        </row>
        <row r="349">
          <cell r="C349" t="str">
            <v>RF M3400QA-KM502WS</v>
          </cell>
          <cell r="E349" t="str">
            <v>M3400QA-KM502WS</v>
          </cell>
          <cell r="F349" t="str">
            <v>90NB0UG4-M000R0</v>
          </cell>
          <cell r="G349" t="str">
            <v xml:space="preserve">Ryzen™ 5 5600H  / 8GB DDR4 /  / 512GB PCIe® 3.0 SSD / 14.0-inch / 2.8K (2880 x 1800) OLED 16:10 aspect ratio / 90Hz refresh rate / AMD Radeon™ Graphics /  / Solar Silver /  / FingerPrint / Backlit Chiclet Keyboard / Windows 11 Home / Office Home and Student 2021 </v>
          </cell>
          <cell r="H349">
            <v>34993</v>
          </cell>
          <cell r="I349">
            <v>28321</v>
          </cell>
          <cell r="J349">
            <v>31493</v>
          </cell>
          <cell r="K349">
            <v>25488</v>
          </cell>
          <cell r="L349">
            <v>3500</v>
          </cell>
          <cell r="M349">
            <v>2833</v>
          </cell>
          <cell r="N349" t="str">
            <v>01 - 29 MARCH</v>
          </cell>
          <cell r="O349" t="str">
            <v>(NB20260315)_Mar_Sellout Support_RF _Asus_Select</v>
          </cell>
        </row>
        <row r="350">
          <cell r="C350" t="str">
            <v>RF TP470EA-EC311WS</v>
          </cell>
          <cell r="E350" t="str">
            <v>TP470EA-EC311WS</v>
          </cell>
          <cell r="F350" t="str">
            <v>90NB0S02-M00B70</v>
          </cell>
          <cell r="G350" t="str">
            <v>i3-1115G4//8G/512G PCIe SSD/TRANSPARENT SILVER/14.0" FHD IPS TOUCH/1Y international warranty + McAfee/Win 11 + Office H&amp;S/Stylus/Finger Print</v>
          </cell>
          <cell r="H350">
            <v>34993</v>
          </cell>
          <cell r="I350">
            <v>28321</v>
          </cell>
          <cell r="J350">
            <v>31493</v>
          </cell>
          <cell r="K350">
            <v>25488</v>
          </cell>
          <cell r="L350">
            <v>3500</v>
          </cell>
          <cell r="M350">
            <v>2833</v>
          </cell>
          <cell r="N350" t="str">
            <v>01 - 29 MARCH</v>
          </cell>
          <cell r="O350" t="str">
            <v>(NB20260315)_Mar_Sellout Support_RF _Asus_Select</v>
          </cell>
        </row>
        <row r="351">
          <cell r="C351" t="str">
            <v>RF X415EP-EB562WS</v>
          </cell>
          <cell r="E351" t="str">
            <v>X415EP-EB562WS</v>
          </cell>
          <cell r="F351" t="str">
            <v>90NB0TU1-M000T0</v>
          </cell>
          <cell r="G351" t="str">
            <v xml:space="preserve">i5 1135G7 / MX330 / 8GB / 512GB SSD / Transparent Silver / 14.0-inch / FHD v_IPS / 1Y International Warranty / McAfee / Win 11 / Office H&amp;S 2021 / FingerPrint /  /  / </v>
          </cell>
          <cell r="H351">
            <v>34293</v>
          </cell>
          <cell r="I351">
            <v>27754</v>
          </cell>
          <cell r="J351">
            <v>31493</v>
          </cell>
          <cell r="K351">
            <v>25488</v>
          </cell>
          <cell r="L351">
            <v>2800</v>
          </cell>
          <cell r="M351">
            <v>2266</v>
          </cell>
          <cell r="N351" t="str">
            <v>01 - 29 MARCH</v>
          </cell>
          <cell r="O351" t="str">
            <v>(NB20260315)_Mar_Sellout Support_RF _Asus_Select</v>
          </cell>
        </row>
        <row r="352">
          <cell r="C352" t="str">
            <v>RF UX481FL-HJ551TS</v>
          </cell>
          <cell r="E352" t="str">
            <v>UX481FL-HJ551TS</v>
          </cell>
          <cell r="F352" t="str">
            <v>90NB0P61-M06920</v>
          </cell>
          <cell r="G352" t="str">
            <v>i5-10210U/MX250/8G/512G PCIe SSD/CELESTIAL BLUE/14.0"FHD IPS Touch/1Y international warranty/Office H&amp;S/Sleeve/Soft Stand/Stylus</v>
          </cell>
          <cell r="H352">
            <v>34995</v>
          </cell>
          <cell r="I352">
            <v>28322</v>
          </cell>
          <cell r="J352">
            <v>31495</v>
          </cell>
          <cell r="K352">
            <v>25490</v>
          </cell>
          <cell r="L352">
            <v>3500</v>
          </cell>
          <cell r="M352">
            <v>2832</v>
          </cell>
          <cell r="N352" t="str">
            <v>01 - 29 MARCH</v>
          </cell>
          <cell r="O352" t="str">
            <v>(NB20260315)_Mar_Sellout Support_RF _Asus_Select</v>
          </cell>
        </row>
        <row r="353">
          <cell r="C353" t="str">
            <v>RF K3504VAB-NJ321WS</v>
          </cell>
          <cell r="E353" t="str">
            <v>K3504VAB-NJ321WS</v>
          </cell>
          <cell r="F353" t="str">
            <v>90NB10A1-M007X0</v>
          </cell>
          <cell r="G353" t="str">
            <v xml:space="preserve">Intel® Core™ i3-1315U 8GB DDR4  / 512GB PCIe® 4.0 SSD / 15.6-inch / FHD (1920 x 1080) 16:9  /  / Indie Black / Backlit KB / Win 11 Home / MS Office / </v>
          </cell>
          <cell r="H353">
            <v>34392</v>
          </cell>
          <cell r="I353">
            <v>27834</v>
          </cell>
          <cell r="J353">
            <v>31592</v>
          </cell>
          <cell r="K353">
            <v>25568</v>
          </cell>
          <cell r="L353">
            <v>2800</v>
          </cell>
          <cell r="M353">
            <v>2266</v>
          </cell>
          <cell r="N353" t="str">
            <v>01 - 29 MARCH</v>
          </cell>
          <cell r="O353" t="str">
            <v>(NB20260315)_Mar_Sellout Support_RF _Asus_Select</v>
          </cell>
        </row>
        <row r="354">
          <cell r="C354" t="str">
            <v>RF K3504VAB-NJ322WS</v>
          </cell>
          <cell r="E354" t="str">
            <v>K3504VAB-NJ322WS</v>
          </cell>
          <cell r="F354" t="str">
            <v>90NB10A2-M007Y0</v>
          </cell>
          <cell r="G354" t="str">
            <v xml:space="preserve">Intel® Core™ i3-1315U 8GB DDR4  / 512GB PCIe® 4.0 SSD / 15.6-inch / FHD (1920 x 1080) 16:9  /  / Cool Silver / Backlit KB / Win 11 Home / MS Office / </v>
          </cell>
          <cell r="H354">
            <v>34392</v>
          </cell>
          <cell r="I354">
            <v>27834</v>
          </cell>
          <cell r="J354">
            <v>31592</v>
          </cell>
          <cell r="K354">
            <v>25568</v>
          </cell>
          <cell r="L354">
            <v>2800</v>
          </cell>
          <cell r="M354">
            <v>2266</v>
          </cell>
          <cell r="N354" t="str">
            <v>01 - 29 MARCH</v>
          </cell>
          <cell r="O354" t="str">
            <v>(NB20260315)_Mar_Sellout Support_RF _Asus_Select</v>
          </cell>
        </row>
        <row r="355">
          <cell r="C355" t="str">
            <v>RF K513EP-BQ702TS</v>
          </cell>
          <cell r="E355" t="str">
            <v>K513EP-BQ702TS</v>
          </cell>
          <cell r="F355" t="str">
            <v>90NB0SJ1-M02380</v>
          </cell>
          <cell r="G355" t="str">
            <v>i7-1165G7/MX330/8G/1T+256G PCIe SSD/INDIE BLACK/15.6"FHD vIPS/1Y international warranty + McAfee/Office H&amp;S/Backlit KB/Finger Print</v>
          </cell>
          <cell r="H355">
            <v>35994</v>
          </cell>
          <cell r="I355">
            <v>29131</v>
          </cell>
          <cell r="J355">
            <v>31794</v>
          </cell>
          <cell r="K355">
            <v>25732</v>
          </cell>
          <cell r="L355">
            <v>4200</v>
          </cell>
          <cell r="M355">
            <v>3399</v>
          </cell>
          <cell r="N355" t="str">
            <v>01 - 29 MARCH</v>
          </cell>
          <cell r="O355" t="str">
            <v>(NB20260315)_Mar_Sellout Support_RF _Asus_Select</v>
          </cell>
        </row>
        <row r="356">
          <cell r="C356" t="str">
            <v>RF K513EP-EJ701TS</v>
          </cell>
          <cell r="E356" t="str">
            <v>K513EP-EJ701TS</v>
          </cell>
          <cell r="F356" t="str">
            <v>90NB0SJ3-M01960</v>
          </cell>
          <cell r="G356" t="str">
            <v>i7-1165G7/MX330/8G/1T+256G PCIe SSD/HEARTY GOLD/15.6"FHD /1Y international warranty + MacFee/Office H&amp;S/Backlit KB/Finger Print</v>
          </cell>
          <cell r="H356">
            <v>35994</v>
          </cell>
          <cell r="I356">
            <v>29131</v>
          </cell>
          <cell r="J356">
            <v>31794</v>
          </cell>
          <cell r="K356">
            <v>25732</v>
          </cell>
          <cell r="L356">
            <v>4200</v>
          </cell>
          <cell r="M356">
            <v>3399</v>
          </cell>
          <cell r="N356" t="str">
            <v>01 - 29 MARCH</v>
          </cell>
          <cell r="O356" t="str">
            <v>(NB20260315)_Mar_Sellout Support_RF _Asus_Select</v>
          </cell>
        </row>
        <row r="357">
          <cell r="C357" t="str">
            <v>RF K513EP-EJ702TS</v>
          </cell>
          <cell r="E357" t="str">
            <v>K513EP-EJ702TS</v>
          </cell>
          <cell r="F357" t="str">
            <v>90NB0SJ1-M01970</v>
          </cell>
          <cell r="G357" t="str">
            <v>i7-1165G7/MX330/8G/1T+256G PCIe SSD/INDIE BLACK/15.6"FHD /1Y international warranty + MacFee/Office H&amp;S/Backlit KB/Finger Print</v>
          </cell>
          <cell r="H357">
            <v>35994</v>
          </cell>
          <cell r="I357">
            <v>29131</v>
          </cell>
          <cell r="J357">
            <v>31794</v>
          </cell>
          <cell r="K357">
            <v>25732</v>
          </cell>
          <cell r="L357">
            <v>4200</v>
          </cell>
          <cell r="M357">
            <v>3399</v>
          </cell>
          <cell r="N357" t="str">
            <v>01 - 29 MARCH</v>
          </cell>
          <cell r="O357" t="str">
            <v>(NB20260315)_Mar_Sellout Support_RF _Asus_Select</v>
          </cell>
        </row>
        <row r="358">
          <cell r="C358" t="str">
            <v>RF K513EP-EJ703TS</v>
          </cell>
          <cell r="E358" t="str">
            <v>K513EP-EJ703TS</v>
          </cell>
          <cell r="F358" t="str">
            <v>90NB0SJ2-M01980</v>
          </cell>
          <cell r="G358" t="str">
            <v>i7-1165G7/MX330/8G/1T+256G PCIe SSD/TRANSPARENT SILVER/15.6"FHD /1Y international warranty + MacFee/Office H&amp;S/Backlit KB/Finger Print</v>
          </cell>
          <cell r="H358">
            <v>35994</v>
          </cell>
          <cell r="I358">
            <v>29131</v>
          </cell>
          <cell r="J358">
            <v>31794</v>
          </cell>
          <cell r="K358">
            <v>25732</v>
          </cell>
          <cell r="L358">
            <v>4200</v>
          </cell>
          <cell r="M358">
            <v>3399</v>
          </cell>
          <cell r="N358" t="str">
            <v>01 - 29 MARCH</v>
          </cell>
          <cell r="O358" t="str">
            <v>(NB20260315)_Mar_Sellout Support_RF _Asus_Select</v>
          </cell>
        </row>
        <row r="359">
          <cell r="C359" t="str">
            <v>RF UX490UA-BE045T</v>
          </cell>
          <cell r="E359" t="str">
            <v>UX490UA-BE045T</v>
          </cell>
          <cell r="F359" t="str">
            <v>90NB0EI1-M02670</v>
          </cell>
          <cell r="G359" t="str">
            <v>14" IPS FHD/i7 7500U/8GB/512GB/Share/-/1A BLUE/-/WIN10/802.11ac/BT 4.0/BAG + USB3.1 Dongle/2Y</v>
          </cell>
          <cell r="H359">
            <v>35994</v>
          </cell>
          <cell r="I359">
            <v>29131</v>
          </cell>
          <cell r="J359">
            <v>31794</v>
          </cell>
          <cell r="K359">
            <v>25732</v>
          </cell>
          <cell r="L359">
            <v>4200</v>
          </cell>
          <cell r="M359">
            <v>3399</v>
          </cell>
          <cell r="N359" t="str">
            <v>01 - 29 MARCH</v>
          </cell>
          <cell r="O359" t="str">
            <v>(NB20260315)_Mar_Sellout Support_RF _Asus_Select</v>
          </cell>
        </row>
        <row r="360">
          <cell r="C360" t="str">
            <v>RF TN3402QA-LZ741WS</v>
          </cell>
          <cell r="E360" t="str">
            <v>TN3402QA-LZ741WS</v>
          </cell>
          <cell r="F360" t="str">
            <v>90NB0WT2-M00AM0</v>
          </cell>
          <cell r="G360" t="str">
            <v>AMD Ryzen™ 7 5800HS /  /  / 16GB (8*2) DDR4 / 512GB PCIe® 3.0 SSD / 14.0-inch / WUXGA (1920 x 1200) 16:10  /  / Cool Silver / NumberPad /  / FingerPrint / Backlit KB / Win 11 Home / MS Office / Stylus</v>
          </cell>
          <cell r="H360">
            <v>38994</v>
          </cell>
          <cell r="I360">
            <v>31559</v>
          </cell>
          <cell r="J360">
            <v>31994</v>
          </cell>
          <cell r="K360">
            <v>25893</v>
          </cell>
          <cell r="L360">
            <v>7000</v>
          </cell>
          <cell r="M360">
            <v>5666</v>
          </cell>
          <cell r="N360" t="str">
            <v>01 - 29 MARCH</v>
          </cell>
          <cell r="O360" t="str">
            <v>(NB20260315)_Mar_Sellout Support_RF _Asus_Select</v>
          </cell>
        </row>
        <row r="361">
          <cell r="C361" t="str">
            <v>RF S333EA-EG501TS</v>
          </cell>
          <cell r="E361" t="str">
            <v>S333EA-EG501TS</v>
          </cell>
          <cell r="F361" t="str">
            <v>90NB0SP4-M01150</v>
          </cell>
          <cell r="G361" t="str">
            <v>i5-1135G7//8G/512G PCIe SSD/GREY/13.3" FHD 72%NTSC/1Y international warranty/Office H&amp;S/Finger Print/Backlit KB</v>
          </cell>
          <cell r="H361">
            <v>35693</v>
          </cell>
          <cell r="I361">
            <v>28887</v>
          </cell>
          <cell r="J361">
            <v>32123</v>
          </cell>
          <cell r="K361">
            <v>25998</v>
          </cell>
          <cell r="L361">
            <v>3570</v>
          </cell>
          <cell r="M361">
            <v>2889</v>
          </cell>
          <cell r="N361" t="str">
            <v>01 - 29 MARCH</v>
          </cell>
          <cell r="O361" t="str">
            <v>(NB20260315)_Mar_Sellout Support_RF _Asus_Select</v>
          </cell>
        </row>
        <row r="362">
          <cell r="C362" t="str">
            <v>RF E1504FA-NJ1505WS</v>
          </cell>
          <cell r="E362" t="str">
            <v>E1504FA-NJ1505WS</v>
          </cell>
          <cell r="F362" t="str">
            <v>90NB14I2-M00050</v>
          </cell>
          <cell r="G362" t="str">
            <v xml:space="preserve">AMD Ryzen™ 5 7520U /  /  / 16GB LPDDR5 / 512GB PCIe® 3.0 SSD / 15.6-inch / FHD (1920 x 1080) 16:9  /  / Mixed Black /  / Win 11 Home / MS Office / </v>
          </cell>
          <cell r="H362">
            <v>33592</v>
          </cell>
          <cell r="I362">
            <v>27187</v>
          </cell>
          <cell r="J362">
            <v>32192</v>
          </cell>
          <cell r="K362">
            <v>26054</v>
          </cell>
          <cell r="L362">
            <v>1400</v>
          </cell>
          <cell r="M362">
            <v>1133</v>
          </cell>
          <cell r="N362" t="str">
            <v>01 - 29 MARCH</v>
          </cell>
          <cell r="O362" t="str">
            <v>(NB20260315)_Mar_Sellout Support_RF _Asus_Select</v>
          </cell>
        </row>
        <row r="363">
          <cell r="C363" t="str">
            <v>RF E1504FA-NJ5542WS</v>
          </cell>
          <cell r="E363" t="str">
            <v>E1504FA-NJ5542WS</v>
          </cell>
          <cell r="F363" t="str">
            <v>90NB0ZR2-M02LE0</v>
          </cell>
          <cell r="G363" t="str">
            <v xml:space="preserve">AMD Ryzen™ 5 7520U / 16GB LPDDR5 / 512GB PCIe® 3.0 SSD / 15.6-inch / FHD (1920 x 1080) 16:9  /  / Mixed Black /  / Win 11 Home / Office Home 2024 &amp; M365 Basic 1 Year / </v>
          </cell>
          <cell r="H363">
            <v>33592</v>
          </cell>
          <cell r="I363">
            <v>27187</v>
          </cell>
          <cell r="J363">
            <v>32192</v>
          </cell>
          <cell r="K363">
            <v>26054</v>
          </cell>
          <cell r="L363">
            <v>1400</v>
          </cell>
          <cell r="M363">
            <v>1133</v>
          </cell>
          <cell r="N363" t="str">
            <v>01 - 29 MARCH</v>
          </cell>
          <cell r="O363" t="str">
            <v>(NB20260315)_Mar_Sellout Support_RF _Asus_Select</v>
          </cell>
        </row>
        <row r="364">
          <cell r="C364" t="str">
            <v>RF E1504FA-NJ5541WS</v>
          </cell>
          <cell r="E364" t="str">
            <v>E1504FA-NJ5541WS</v>
          </cell>
          <cell r="F364" t="str">
            <v>90NB0ZR1-M02LF0</v>
          </cell>
          <cell r="G364" t="str">
            <v xml:space="preserve">AMD Ryzen™ 5 7520U / 16GB LPDDR5 / 512GB PCIe® 3.0 SSD / 15.6-inch / FHD (1920 x 1080) 16:9  /  / Cool Silver /  / Win 11 Home / Office Home 2024 &amp; M365 Basic 1 Year / </v>
          </cell>
          <cell r="H364">
            <v>33592</v>
          </cell>
          <cell r="I364">
            <v>27187</v>
          </cell>
          <cell r="J364">
            <v>32192</v>
          </cell>
          <cell r="K364">
            <v>26054</v>
          </cell>
          <cell r="L364">
            <v>1400</v>
          </cell>
          <cell r="M364">
            <v>1133</v>
          </cell>
          <cell r="N364" t="str">
            <v>01 - 29 MARCH</v>
          </cell>
          <cell r="O364" t="str">
            <v>(NB20260315)_Mar_Sellout Support_RF _Asus_Select</v>
          </cell>
        </row>
        <row r="365">
          <cell r="C365" t="str">
            <v>RF E1404FA-NK5542WS</v>
          </cell>
          <cell r="E365" t="str">
            <v>E1404FA-NK5542WS</v>
          </cell>
          <cell r="F365" t="str">
            <v>90NB0ZS2-M00Y80</v>
          </cell>
          <cell r="G365" t="str">
            <v xml:space="preserve">AMD Ryzen™ 5 7520U / 16GB DDR5 / 512GB PCIe® 3.0 SSD / 14.0-inch / FHD (1920 x 1080) 16:9  /  / Mixed Black / NumberPad / Win 11 Home / Office Home 2024 &amp; M365 Basic 1 Year / </v>
          </cell>
          <cell r="H365">
            <v>33592</v>
          </cell>
          <cell r="I365">
            <v>27187</v>
          </cell>
          <cell r="J365">
            <v>32192</v>
          </cell>
          <cell r="K365">
            <v>26054</v>
          </cell>
          <cell r="L365">
            <v>1400</v>
          </cell>
          <cell r="M365">
            <v>1133</v>
          </cell>
          <cell r="N365" t="str">
            <v>01 - 29 MARCH</v>
          </cell>
          <cell r="O365" t="str">
            <v>(NB20260315)_Mar_Sellout Support_RF _Asus_Select</v>
          </cell>
        </row>
        <row r="366">
          <cell r="C366" t="str">
            <v>RF E1504FA-NJ549WS</v>
          </cell>
          <cell r="E366" t="str">
            <v>E1504FA-NJ549WS</v>
          </cell>
          <cell r="F366" t="str">
            <v>90NB14I2-M00010</v>
          </cell>
          <cell r="G366" t="str">
            <v xml:space="preserve">AMD Ryzen™ 5 7520U / 16GB LPDDR5 / 512GB PCIe® 3.0 SSD / 15.6-inch / FHD (1920 x 1080) 16:9  /  / Mixed Black /  / Win 11 Home / MS Office / </v>
          </cell>
          <cell r="H366">
            <v>33592</v>
          </cell>
          <cell r="I366">
            <v>27187</v>
          </cell>
          <cell r="J366">
            <v>32192</v>
          </cell>
          <cell r="K366">
            <v>26054</v>
          </cell>
          <cell r="L366">
            <v>1400</v>
          </cell>
          <cell r="M366">
            <v>1133</v>
          </cell>
          <cell r="N366" t="str">
            <v>01 - 29 MARCH</v>
          </cell>
          <cell r="O366" t="str">
            <v>(NB20260315)_Mar_Sellout Support_RF _Asus_Select</v>
          </cell>
        </row>
        <row r="367">
          <cell r="C367" t="str">
            <v>RF E1404FA-NK5541WS</v>
          </cell>
          <cell r="E367" t="str">
            <v>E1404FA-NK5541WS</v>
          </cell>
          <cell r="F367" t="str">
            <v>90NB0ZS1-M00Y70</v>
          </cell>
          <cell r="G367" t="str">
            <v xml:space="preserve">AMD Ryzen™ 5 7520U / 16GB DDR5 / 512GB PCIe® 3.0 SSD / 14.0-inch / FHD (1920 x 1080) 16:9  /  / Cool Silver / NumberPad / Win 11 Home / Office Home 2024 &amp; M365 Basic 1 Year / </v>
          </cell>
          <cell r="H367">
            <v>33592</v>
          </cell>
          <cell r="I367">
            <v>27187</v>
          </cell>
          <cell r="J367">
            <v>32192</v>
          </cell>
          <cell r="K367">
            <v>26054</v>
          </cell>
          <cell r="L367">
            <v>1400</v>
          </cell>
          <cell r="M367">
            <v>1133</v>
          </cell>
          <cell r="N367" t="str">
            <v>01 - 29 MARCH</v>
          </cell>
          <cell r="O367" t="str">
            <v>(NB20260315)_Mar_Sellout Support_RF _Asus_Select</v>
          </cell>
        </row>
        <row r="368">
          <cell r="C368" t="str">
            <v>RF E1504FA-NJ541WS</v>
          </cell>
          <cell r="E368" t="str">
            <v>E1504FA-NJ541WS</v>
          </cell>
          <cell r="F368" t="str">
            <v>90NB0ZR1-M00BK0</v>
          </cell>
          <cell r="G368" t="str">
            <v xml:space="preserve">AMD Ryzen™ 5 7520U /  /  / 16GB LPDDR5 / 512GB PCIe® 3.0 SSD / 15.6-inch / FHD (1920 x 1080) 16:9  /  / Cool Silver /  / Win 11 Home / MS Office / </v>
          </cell>
          <cell r="H368">
            <v>33592</v>
          </cell>
          <cell r="I368">
            <v>27187</v>
          </cell>
          <cell r="J368">
            <v>32192</v>
          </cell>
          <cell r="K368">
            <v>26054</v>
          </cell>
          <cell r="L368">
            <v>1400</v>
          </cell>
          <cell r="M368">
            <v>1133</v>
          </cell>
          <cell r="N368" t="str">
            <v>01 - 29 MARCH</v>
          </cell>
          <cell r="O368" t="str">
            <v>(NB20260315)_Mar_Sellout Support_RF _Asus_Select</v>
          </cell>
        </row>
        <row r="369">
          <cell r="C369" t="str">
            <v>RF E1404FA-NK541WS</v>
          </cell>
          <cell r="E369" t="str">
            <v>E1404FA-NK541WS</v>
          </cell>
          <cell r="F369" t="str">
            <v>90NB0ZS1-M00990</v>
          </cell>
          <cell r="G369" t="str">
            <v xml:space="preserve">AMD Ryzen™ 5 7520U /  /  / 16GB DDR5 / 512GB PCIe® 3.0 SSD / 14.0-inch / FHD (1920 x 1080) 16:9  /  / Cool Silver / NumberPad / Win 11 Home / MS Office / </v>
          </cell>
          <cell r="H369">
            <v>33592</v>
          </cell>
          <cell r="I369">
            <v>27187</v>
          </cell>
          <cell r="J369">
            <v>32192</v>
          </cell>
          <cell r="K369">
            <v>26054</v>
          </cell>
          <cell r="L369">
            <v>1400</v>
          </cell>
          <cell r="M369">
            <v>1133</v>
          </cell>
          <cell r="N369" t="str">
            <v>01 - 29 MARCH</v>
          </cell>
          <cell r="O369" t="str">
            <v>(NB20260315)_Mar_Sellout Support_RF _Asus_Select</v>
          </cell>
        </row>
        <row r="370">
          <cell r="C370" t="str">
            <v>RF E1504FA-NJ542WS</v>
          </cell>
          <cell r="E370" t="str">
            <v>E1504FA-NJ542WS</v>
          </cell>
          <cell r="F370" t="str">
            <v>90NB0ZR2-M00BJ0</v>
          </cell>
          <cell r="G370" t="str">
            <v xml:space="preserve">AMD Ryzen™ 5 7520U /  /  / 16GB LPDDR5 / 512GB PCIe® 3.0 SSD / 15.6-inch / FHD (1920 x 1080) 16:9  /  / Mixed Black /  / Win 11 Home / MS Office / </v>
          </cell>
          <cell r="H370">
            <v>33592</v>
          </cell>
          <cell r="I370">
            <v>27187</v>
          </cell>
          <cell r="J370">
            <v>32192</v>
          </cell>
          <cell r="K370">
            <v>26054</v>
          </cell>
          <cell r="L370">
            <v>1400</v>
          </cell>
          <cell r="M370">
            <v>1133</v>
          </cell>
          <cell r="N370" t="str">
            <v>01 - 29 MARCH</v>
          </cell>
          <cell r="O370" t="str">
            <v>(NB20260315)_Mar_Sellout Support_RF _Asus_Select</v>
          </cell>
        </row>
        <row r="371">
          <cell r="C371" t="str">
            <v>RF E1404FA-NK542WS</v>
          </cell>
          <cell r="E371" t="str">
            <v>E1404FA-NK542WS</v>
          </cell>
          <cell r="F371" t="str">
            <v>90NB0ZS2-M009A0</v>
          </cell>
          <cell r="G371" t="str">
            <v xml:space="preserve">AMD Ryzen™ 5 7520U /  /  / 16GB DDR5 / 512GB PCIe® 3.0 SSD / 14.0-inch / FHD (1920 x 1080) 16:9  /  / Mixed Black / NumberPad / Win 11 Home / MS Office / </v>
          </cell>
          <cell r="H371">
            <v>33592</v>
          </cell>
          <cell r="I371">
            <v>27187</v>
          </cell>
          <cell r="J371">
            <v>32192</v>
          </cell>
          <cell r="K371">
            <v>26054</v>
          </cell>
          <cell r="L371">
            <v>1400</v>
          </cell>
          <cell r="M371">
            <v>1133</v>
          </cell>
          <cell r="N371" t="str">
            <v>01 - 29 MARCH</v>
          </cell>
          <cell r="O371" t="str">
            <v>(NB20260315)_Mar_Sellout Support_RF _Asus_Select</v>
          </cell>
        </row>
        <row r="372">
          <cell r="C372" t="str">
            <v>RF E1504FA-NJ543WS</v>
          </cell>
          <cell r="E372" t="str">
            <v>E1504FA-NJ543WS</v>
          </cell>
          <cell r="F372" t="str">
            <v>90NB0ZR3-M00BH0</v>
          </cell>
          <cell r="G372" t="str">
            <v xml:space="preserve">AMD Ryzen™ 5 7520U /  /  / 16GB LPDDR5 / 512GB PCIe® 3.0 SSD / 15.6-inch / FHD (1920 x 1080) 16:9  /  / Grey Green /  / Win 11 Home / MS Office / </v>
          </cell>
          <cell r="H372">
            <v>33592</v>
          </cell>
          <cell r="I372">
            <v>27187</v>
          </cell>
          <cell r="J372">
            <v>32192</v>
          </cell>
          <cell r="K372">
            <v>26054</v>
          </cell>
          <cell r="L372">
            <v>1400</v>
          </cell>
          <cell r="M372">
            <v>1133</v>
          </cell>
          <cell r="N372" t="str">
            <v>01 - 29 MARCH</v>
          </cell>
          <cell r="O372" t="str">
            <v>(NB20260315)_Mar_Sellout Support_RF _Asus_Select</v>
          </cell>
        </row>
        <row r="373">
          <cell r="C373" t="str">
            <v>RF UX325EA-KG511WS</v>
          </cell>
          <cell r="E373" t="str">
            <v>UX325EA-KG511WS</v>
          </cell>
          <cell r="F373" t="str">
            <v>90NB0SL2-M008J0</v>
          </cell>
          <cell r="G373" t="str">
            <v>i5-1135G7//16G/512G PCIe SSD/LILAC MIST/13.3"FHD OLED/1Y international warranty + McAfee/Office H&amp;S/NUMPAD/Zenbook Sleeve/Audio Jack Dongle</v>
          </cell>
          <cell r="H373">
            <v>36594</v>
          </cell>
          <cell r="I373">
            <v>29616</v>
          </cell>
          <cell r="J373">
            <v>32324</v>
          </cell>
          <cell r="K373">
            <v>26161</v>
          </cell>
          <cell r="L373">
            <v>4270</v>
          </cell>
          <cell r="M373">
            <v>3455</v>
          </cell>
          <cell r="N373" t="str">
            <v>01 - 29 MARCH</v>
          </cell>
          <cell r="O373" t="str">
            <v>(NB20260315)_Mar_Sellout Support_RF _Asus_Select</v>
          </cell>
        </row>
        <row r="374">
          <cell r="C374" t="str">
            <v>RF UM425UA-AM502TS</v>
          </cell>
          <cell r="E374" t="str">
            <v>UM425UA-AM502TS</v>
          </cell>
          <cell r="F374" t="str">
            <v>90NB0TJ2-M00980</v>
          </cell>
          <cell r="G374" t="str">
            <v>R5-5500U//8G/512G PCIe SSD/LILAC MIST/14" FHD/1Y international warranty + McAfee/Office H&amp;S/NUMPAD/Zenbook Sleeve/Audio Jack Dongle</v>
          </cell>
          <cell r="H374">
            <v>35994</v>
          </cell>
          <cell r="I374">
            <v>29131</v>
          </cell>
          <cell r="J374">
            <v>32494</v>
          </cell>
          <cell r="K374">
            <v>26298</v>
          </cell>
          <cell r="L374">
            <v>3500</v>
          </cell>
          <cell r="M374">
            <v>2833</v>
          </cell>
          <cell r="N374" t="str">
            <v>01 - 29 MARCH</v>
          </cell>
          <cell r="O374" t="str">
            <v>(NB20260315)_Mar_Sellout Support_RF _Asus_Select</v>
          </cell>
        </row>
        <row r="375">
          <cell r="C375" t="str">
            <v>RF X1502ZA-EJ514WS</v>
          </cell>
          <cell r="E375" t="str">
            <v>X1502ZA-EJ514WS</v>
          </cell>
          <cell r="F375" t="str">
            <v>90NB0VX1-M00N10</v>
          </cell>
          <cell r="G375" t="str">
            <v xml:space="preserve">Intel®Core™ i5-1235U / Intel  Iris Xᵉ Graphics /  / 4GB DDR4  + 4GB DDR4  / 512GB PCIe® 3.0 SSD / 15.6-inch / FHD (1920 x 1080) 16:9  /  / Quiet Blue /  /  / FingerPrint /  / Win 11 Home / MS Office / </v>
          </cell>
          <cell r="H375">
            <v>36792</v>
          </cell>
          <cell r="I375">
            <v>29777</v>
          </cell>
          <cell r="J375">
            <v>32592</v>
          </cell>
          <cell r="K375">
            <v>26377</v>
          </cell>
          <cell r="L375">
            <v>4200</v>
          </cell>
          <cell r="M375">
            <v>3400</v>
          </cell>
          <cell r="N375" t="str">
            <v>01 - 29 MARCH</v>
          </cell>
          <cell r="O375" t="str">
            <v>(NB20260315)_Mar_Sellout Support_RF _Asus_Select</v>
          </cell>
        </row>
        <row r="376">
          <cell r="C376" t="str">
            <v>RF X1502ZA-EJ515WS</v>
          </cell>
          <cell r="E376" t="str">
            <v>X1502ZA-EJ515WS</v>
          </cell>
          <cell r="F376" t="str">
            <v>90NB0VX2-M00N20</v>
          </cell>
          <cell r="G376" t="str">
            <v xml:space="preserve">Intel®Core™ i5-1235U / Intel  Iris Xᵉ Graphics /  / 4GB DDR4  + 4GB DDR4  / 512GB PCIe® 3.0 SSD / 15.6-inch / FHD (1920 x 1080) 16:9  /  / Icelight Silver /  /  / FingerPrint /  / Win 11 Home / MS Office / </v>
          </cell>
          <cell r="H376">
            <v>37592</v>
          </cell>
          <cell r="I376">
            <v>30424</v>
          </cell>
          <cell r="J376">
            <v>32692</v>
          </cell>
          <cell r="K376">
            <v>26458</v>
          </cell>
          <cell r="L376">
            <v>4900</v>
          </cell>
          <cell r="M376">
            <v>3966</v>
          </cell>
          <cell r="N376" t="str">
            <v>01 - 29 MARCH</v>
          </cell>
          <cell r="O376" t="str">
            <v>(NB20260315)_Mar_Sellout Support_RF _Asus_Select</v>
          </cell>
        </row>
        <row r="377">
          <cell r="C377" t="str">
            <v>RF X1502ZA-EJ531WS</v>
          </cell>
          <cell r="E377" t="str">
            <v>X1502ZA-EJ531WS</v>
          </cell>
          <cell r="F377" t="str">
            <v>90NB0VX2-M019N0</v>
          </cell>
          <cell r="G377" t="str">
            <v xml:space="preserve">Intel®Core™ i5-1235U /  /  / 8GB (4*2) DDR4 / 512GB PCIe® 3.0 SSD / 15.6-inch / FHD (1920 x 1080) 16:9  /  / Icelight Silver / Backlit KB / Win 11 Home / MS Office / </v>
          </cell>
          <cell r="H377">
            <v>37592</v>
          </cell>
          <cell r="I377">
            <v>30424</v>
          </cell>
          <cell r="J377">
            <v>32692</v>
          </cell>
          <cell r="K377">
            <v>26458</v>
          </cell>
          <cell r="L377">
            <v>4900</v>
          </cell>
          <cell r="M377">
            <v>3966</v>
          </cell>
          <cell r="N377" t="str">
            <v>01 - 29 MARCH</v>
          </cell>
          <cell r="O377" t="str">
            <v>(NB20260315)_Mar_Sellout Support_RF _Asus_Select</v>
          </cell>
        </row>
        <row r="378">
          <cell r="C378" t="str">
            <v>RF X1502ZA-EJ532WS</v>
          </cell>
          <cell r="E378" t="str">
            <v>X1502ZA-EJ532WS</v>
          </cell>
          <cell r="F378" t="str">
            <v>90NB0VX1-M01D70</v>
          </cell>
          <cell r="G378" t="str">
            <v xml:space="preserve">Intel®Core™ i5-1235U /  /  / 8GB (4*2) DDR4 / 512GB PCIe® 3.0 SSD / 15.6-inch / FHD (1920 x 1080) 16:9  /  / Quiet Blue / Backlit KB / Win 11 Home / MS Office / </v>
          </cell>
          <cell r="H378">
            <v>37592</v>
          </cell>
          <cell r="I378">
            <v>30424</v>
          </cell>
          <cell r="J378">
            <v>32692</v>
          </cell>
          <cell r="K378">
            <v>26458</v>
          </cell>
          <cell r="L378">
            <v>4900</v>
          </cell>
          <cell r="M378">
            <v>3966</v>
          </cell>
          <cell r="N378" t="str">
            <v>01 - 29 MARCH</v>
          </cell>
          <cell r="O378" t="str">
            <v>(NB20260315)_Mar_Sellout Support_RF _Asus_Select</v>
          </cell>
        </row>
        <row r="379">
          <cell r="C379" t="str">
            <v>RF X1504ZA-NJ520WS</v>
          </cell>
          <cell r="E379" t="str">
            <v>X1504ZA-NJ520WS</v>
          </cell>
          <cell r="F379" t="str">
            <v>90NB14H1-M00070</v>
          </cell>
          <cell r="G379" t="str">
            <v xml:space="preserve">Intel®Core™ i5-1235U /  /  / 8GB (4*2) DDR4 / 512GB PCIe® 4.0 SSD / 15.6-inch / FHD (1920 x 1080) 16:9  /  / Quiet Blue / Backlit KB / Win 11 Home / MS Office / </v>
          </cell>
          <cell r="H379">
            <v>37592</v>
          </cell>
          <cell r="I379">
            <v>30424</v>
          </cell>
          <cell r="J379">
            <v>32692</v>
          </cell>
          <cell r="K379">
            <v>26458</v>
          </cell>
          <cell r="L379">
            <v>4900</v>
          </cell>
          <cell r="M379">
            <v>3966</v>
          </cell>
          <cell r="N379" t="str">
            <v>01 - 29 MARCH</v>
          </cell>
          <cell r="O379" t="str">
            <v>(NB20260315)_Mar_Sellout Support_RF _Asus_Select</v>
          </cell>
        </row>
        <row r="380">
          <cell r="C380" t="str">
            <v>RF X1504ZA-NJ521WS</v>
          </cell>
          <cell r="E380" t="str">
            <v>X1504ZA-NJ521WS</v>
          </cell>
          <cell r="F380" t="str">
            <v>90NB1021-M00FZ0</v>
          </cell>
          <cell r="G380" t="str">
            <v xml:space="preserve">Intel®Core™ i5-1235U /  /  / 8GB (4*2) DDR4 / 512GB PCIe® 4.0 SSD / 15.6-inch / FHD (1920 x 1080) 16:9  /  / Quiet Blue / Backlit KB / Win 11 Home / MS Office / </v>
          </cell>
          <cell r="H380">
            <v>37592</v>
          </cell>
          <cell r="I380">
            <v>30424</v>
          </cell>
          <cell r="J380">
            <v>32692</v>
          </cell>
          <cell r="K380">
            <v>26458</v>
          </cell>
          <cell r="L380">
            <v>4900</v>
          </cell>
          <cell r="M380">
            <v>3966</v>
          </cell>
          <cell r="N380" t="str">
            <v>01 - 29 MARCH</v>
          </cell>
          <cell r="O380" t="str">
            <v>(NB20260315)_Mar_Sellout Support_RF _Asus_Select</v>
          </cell>
        </row>
        <row r="381">
          <cell r="C381" t="str">
            <v>RF X1504ZA-NJ522WS</v>
          </cell>
          <cell r="E381" t="str">
            <v>X1504ZA-NJ522WS</v>
          </cell>
          <cell r="F381" t="str">
            <v>90NB1022-M00H00</v>
          </cell>
          <cell r="G381" t="str">
            <v xml:space="preserve">Intel®Core™ i5-1235U /  /  / 8GB (4*2) DDR4 / 512GB PCIe® 4.0 SSD / 15.6-inch / FHD (1920 x 1080) 16:9  /  / COOL SILVER / Backlit KB / Win 11 Home / MS Office / </v>
          </cell>
          <cell r="H381">
            <v>37592</v>
          </cell>
          <cell r="I381">
            <v>30424</v>
          </cell>
          <cell r="J381">
            <v>32692</v>
          </cell>
          <cell r="K381">
            <v>26458</v>
          </cell>
          <cell r="L381">
            <v>4900</v>
          </cell>
          <cell r="M381">
            <v>3966</v>
          </cell>
          <cell r="N381" t="str">
            <v>01 - 29 MARCH</v>
          </cell>
          <cell r="O381" t="str">
            <v>(NB20260315)_Mar_Sellout Support_RF _Asus_Select</v>
          </cell>
        </row>
        <row r="382">
          <cell r="C382" t="str">
            <v>RF X1504ZA-NJ527WS</v>
          </cell>
          <cell r="E382" t="str">
            <v>X1504ZA-NJ527WS</v>
          </cell>
          <cell r="F382" t="str">
            <v>90NB1022-M029P0</v>
          </cell>
          <cell r="G382" t="str">
            <v xml:space="preserve">Intel®Core™ i5-1235U / 8GB DDR4 / 512GB PCIe® 4.0 SSD / 15.6-inch / FHD (1920 x 1080) 16:9  /  / COOL SILVER / Backlit KB / Win 11 Home / MS Office / </v>
          </cell>
          <cell r="H382">
            <v>37592</v>
          </cell>
          <cell r="I382">
            <v>30424</v>
          </cell>
          <cell r="J382">
            <v>32692</v>
          </cell>
          <cell r="K382">
            <v>26458</v>
          </cell>
          <cell r="L382">
            <v>4900</v>
          </cell>
          <cell r="M382">
            <v>3966</v>
          </cell>
          <cell r="N382" t="str">
            <v>01 - 29 MARCH</v>
          </cell>
          <cell r="O382" t="str">
            <v>(NB20260315)_Mar_Sellout Support_RF _Asus_Select</v>
          </cell>
        </row>
        <row r="383">
          <cell r="C383" t="str">
            <v>RF X1504ZA-NJ528WS</v>
          </cell>
          <cell r="E383" t="str">
            <v>X1504ZA-NJ528WS</v>
          </cell>
          <cell r="F383" t="str">
            <v>90NB1021-M00YX0</v>
          </cell>
          <cell r="G383" t="str">
            <v xml:space="preserve">Intel®Core™ i5-1235U / 8GB DDR4 / 512GB PCIe® 4.0 SSD / 15.6-inch / FHD (1920 x 1080) 16:9  /  / Quiet Blue / Backlit KB / Win 11 Home / MS Office / </v>
          </cell>
          <cell r="H383">
            <v>37592</v>
          </cell>
          <cell r="I383">
            <v>30424</v>
          </cell>
          <cell r="J383">
            <v>32692</v>
          </cell>
          <cell r="K383">
            <v>26458</v>
          </cell>
          <cell r="L383">
            <v>4900</v>
          </cell>
          <cell r="M383">
            <v>3966</v>
          </cell>
          <cell r="N383" t="str">
            <v>01 - 29 MARCH</v>
          </cell>
          <cell r="O383" t="str">
            <v>(NB20260315)_Mar_Sellout Support_RF _Asus_Select</v>
          </cell>
        </row>
        <row r="384">
          <cell r="C384" t="str">
            <v>RF M1405YA-KM541WS</v>
          </cell>
          <cell r="E384" t="str">
            <v>M1405YA-KM541WS</v>
          </cell>
          <cell r="F384" t="str">
            <v>90NB10S1-M001S0</v>
          </cell>
          <cell r="G384" t="str">
            <v xml:space="preserve">AMD Ryzen™ 5 7530U /  /  / 16GB (8*2) DDR4 / 512GB PCIe® 3.0 SSD / 14.0-inch / 2.8K (2880 x 1800) OLED 16:10  /  / Indie Black /  /  / FingerPrint / Backlit KB / Win 11 Home / MS Office / </v>
          </cell>
          <cell r="H384">
            <v>39992</v>
          </cell>
          <cell r="I384">
            <v>32366</v>
          </cell>
          <cell r="J384">
            <v>32992</v>
          </cell>
          <cell r="K384">
            <v>26701</v>
          </cell>
          <cell r="L384">
            <v>7000</v>
          </cell>
          <cell r="M384">
            <v>5665</v>
          </cell>
          <cell r="N384" t="str">
            <v>01 - 29 MARCH</v>
          </cell>
          <cell r="O384" t="str">
            <v>(NB20260315)_Mar_Sellout Support_RF _Asus_Select</v>
          </cell>
        </row>
        <row r="385">
          <cell r="C385" t="str">
            <v>RF X1504VA-BQ341WS</v>
          </cell>
          <cell r="E385" t="str">
            <v>X1504VA-BQ341WS</v>
          </cell>
          <cell r="F385" t="str">
            <v>90NB10J2-M041L0</v>
          </cell>
          <cell r="G385" t="str">
            <v xml:space="preserve">Intel® Core™ i3-1315U  / 8GB+8GB DDR4  / 512GB PCIe® 4.0 SSD / 15.6-inch / 15.6" FHD ANTI-GLARE NON-TOUCH,250NITS,NTSC:45%,VIPS-NB(BQ) /  / COOL SILVER / Backlit KB / Win 11 Home / MS Office 2024 + MSO 365 / </v>
          </cell>
          <cell r="H385">
            <v>34392</v>
          </cell>
          <cell r="I385">
            <v>27834</v>
          </cell>
          <cell r="J385">
            <v>32992</v>
          </cell>
          <cell r="K385">
            <v>26701</v>
          </cell>
          <cell r="L385">
            <v>1400</v>
          </cell>
          <cell r="M385">
            <v>1133</v>
          </cell>
          <cell r="N385" t="str">
            <v>01 - 29 MARCH</v>
          </cell>
          <cell r="O385" t="str">
            <v>(NB20260315)_Mar_Sellout Support_RF _Asus_Select</v>
          </cell>
        </row>
        <row r="386">
          <cell r="C386" t="str">
            <v>RF X1504VA-BQ342WS</v>
          </cell>
          <cell r="E386" t="str">
            <v>X1504VA-BQ342WS</v>
          </cell>
          <cell r="F386" t="str">
            <v>90NB10J1-M03W10</v>
          </cell>
          <cell r="G386" t="str">
            <v xml:space="preserve">Intel® Core™ i3-1315U  / 8GB+8GB DDR4  / 512GB PCIe® 4.0 SSD / 15.6-inch / 15.6" FHD ANTI-GLARE NON-TOUCH,250NITS,NTSC:45%,VIPS-NB(BQ) /  / Quiet Blue / Backlit KB / Win 11 Home / MS Office 2024 + MSO 365 / </v>
          </cell>
          <cell r="H386">
            <v>34392</v>
          </cell>
          <cell r="I386">
            <v>27834</v>
          </cell>
          <cell r="J386">
            <v>32992</v>
          </cell>
          <cell r="K386">
            <v>26701</v>
          </cell>
          <cell r="L386">
            <v>1400</v>
          </cell>
          <cell r="M386">
            <v>1133</v>
          </cell>
          <cell r="N386" t="str">
            <v>01 - 29 MARCH</v>
          </cell>
          <cell r="O386" t="str">
            <v>(NB20260315)_Mar_Sellout Support_RF _Asus_Select</v>
          </cell>
        </row>
        <row r="387">
          <cell r="C387" t="str">
            <v>RF X1504VA-BQ343WS</v>
          </cell>
          <cell r="E387" t="str">
            <v>X1504VA-BQ343WS</v>
          </cell>
          <cell r="F387" t="str">
            <v>90NB10J3-M041N0</v>
          </cell>
          <cell r="G387" t="str">
            <v xml:space="preserve">Intel® Core™ i3-1315U  / 8GB+8GB DDR4  / 512GB PCIe® 4.0 SSD / 15.6-inch / 15.6" FHD ANTI-GLARE NON-TOUCH,250NITS,NTSC:45%,VIPS-NB(BQ) /  / Terra Cotta / Backlit KB / Win 11 Home / MS Office 2024 + MSO 365 / </v>
          </cell>
          <cell r="H387">
            <v>34392</v>
          </cell>
          <cell r="I387">
            <v>27834</v>
          </cell>
          <cell r="J387">
            <v>32992</v>
          </cell>
          <cell r="K387">
            <v>26701</v>
          </cell>
          <cell r="L387">
            <v>1400</v>
          </cell>
          <cell r="M387">
            <v>1133</v>
          </cell>
          <cell r="N387" t="str">
            <v>01 - 29 MARCH</v>
          </cell>
          <cell r="O387" t="str">
            <v>(NB20260315)_Mar_Sellout Support_RF _Asus_Select</v>
          </cell>
        </row>
        <row r="388">
          <cell r="C388" t="str">
            <v>RF X1504VA-D5341WS</v>
          </cell>
          <cell r="E388" t="str">
            <v>X1504VA-D5341WS</v>
          </cell>
          <cell r="F388" t="str">
            <v>90NB13Y2-M02C50</v>
          </cell>
          <cell r="G388" t="str">
            <v xml:space="preserve">Intel® Core™ i3-1315U  / 8GB+8GB DDR5  / 512GB PCIe® 4.0 SSD / 15.6-inch / 15.6" FHD ANTI-GLARE NON-TOUCH,250NITS,NTSC:45%,VIPS-NB(BQ) /  / COOL SILVER / Backlit KB / Win 11 Home / MS Office 2024 + MSO 365 / </v>
          </cell>
          <cell r="H388">
            <v>34392</v>
          </cell>
          <cell r="I388">
            <v>27834</v>
          </cell>
          <cell r="J388">
            <v>32992</v>
          </cell>
          <cell r="K388">
            <v>26701</v>
          </cell>
          <cell r="L388">
            <v>1400</v>
          </cell>
          <cell r="M388">
            <v>1133</v>
          </cell>
          <cell r="N388" t="str">
            <v>01 - 29 MARCH</v>
          </cell>
          <cell r="O388" t="str">
            <v>(NB20260315)_Mar_Sellout Support_RF _Asus_Select</v>
          </cell>
        </row>
        <row r="389">
          <cell r="C389" t="str">
            <v>RF X1504VA-E81599WS</v>
          </cell>
          <cell r="E389" t="str">
            <v>X1504VA-E81599WS</v>
          </cell>
          <cell r="F389" t="str">
            <v>90NB10J1-M02280</v>
          </cell>
          <cell r="G389" t="str">
            <v xml:space="preserve">Intel® Core™ i3-1315U  / 8GB DDR4  / 512GB PCIe® 4.0 SSD / 15.6-inch / 15.6" FHD GLARE TOUCH(OTP),250NITS,NTSC:45%,VIPS-NB(E8) /  / Quiet Blue / Backlit KB / Win 11 Home / Office Home 2024 &amp; M365 Basic 1 Year / </v>
          </cell>
          <cell r="H389">
            <v>34392</v>
          </cell>
          <cell r="I389">
            <v>27834</v>
          </cell>
          <cell r="J389">
            <v>32992</v>
          </cell>
          <cell r="K389">
            <v>26701</v>
          </cell>
          <cell r="L389">
            <v>1400</v>
          </cell>
          <cell r="M389">
            <v>1133</v>
          </cell>
          <cell r="N389" t="str">
            <v>01 - 29 MARCH</v>
          </cell>
          <cell r="O389" t="str">
            <v>(NB20260315)_Mar_Sellout Support_RF _Asus_Select</v>
          </cell>
        </row>
        <row r="390">
          <cell r="C390" t="str">
            <v>RF X1605VAB-MB322WS</v>
          </cell>
          <cell r="E390" t="str">
            <v>X1605VAB-MB322WS</v>
          </cell>
          <cell r="F390" t="str">
            <v>90NB10N2-M00BN0</v>
          </cell>
          <cell r="G390" t="str">
            <v xml:space="preserve">Intel®Core™ i3-1315U /  /  / 8GB DDR4 / 512GB PCIe® 4.0 SSD / 16.0-inch / WUXGA (1920 x 1200) 16:10  /  / Transparent Silver / Backlit KB / Win 11 Home / MS Office / </v>
          </cell>
          <cell r="H390">
            <v>34392</v>
          </cell>
          <cell r="I390">
            <v>27834</v>
          </cell>
          <cell r="J390">
            <v>32992</v>
          </cell>
          <cell r="K390">
            <v>26701</v>
          </cell>
          <cell r="L390">
            <v>1400</v>
          </cell>
          <cell r="M390">
            <v>1133</v>
          </cell>
          <cell r="N390" t="str">
            <v>01 - 29 MARCH</v>
          </cell>
          <cell r="O390" t="str">
            <v>(NB20260315)_Mar_Sellout Support_RF _Asus_Select</v>
          </cell>
        </row>
        <row r="391">
          <cell r="C391" t="str">
            <v>RF E1404FA-EB774WS</v>
          </cell>
          <cell r="E391" t="str">
            <v>E1404FA-EB774WS</v>
          </cell>
          <cell r="F391" t="str">
            <v>90NB0ZS2-M01F50</v>
          </cell>
          <cell r="G391" t="str">
            <v xml:space="preserve">AMD Ryzen™ 5 7520U / 16GB DDR5 / 512GB PCIe® 3.0 SSD / 14.0-inch / 14" FHD ANTI-GLARE NON-TOUCH,250NITS,NTSC:45%,VIPS-NB(EB) /  / Mixed Black / NumberPad /  /  / ILLUMINATED CHICLET / Win 11 Home / OFFICE HOME 24(IN)+M365 BASIC / </v>
          </cell>
          <cell r="H391">
            <v>34392</v>
          </cell>
          <cell r="I391">
            <v>27834</v>
          </cell>
          <cell r="J391">
            <v>32992</v>
          </cell>
          <cell r="K391">
            <v>26701</v>
          </cell>
          <cell r="L391">
            <v>1400</v>
          </cell>
          <cell r="M391">
            <v>1133</v>
          </cell>
          <cell r="N391" t="str">
            <v>01 - 29 MARCH</v>
          </cell>
          <cell r="O391" t="str">
            <v>(NB20260315)_Mar_Sellout Support_RF _Asus_Select</v>
          </cell>
        </row>
        <row r="392">
          <cell r="C392" t="str">
            <v>RF E1504FA-BQ2541WS</v>
          </cell>
          <cell r="E392" t="str">
            <v>E1504FA-BQ2541WS</v>
          </cell>
          <cell r="F392" t="str">
            <v>90NB0ZR1-M03VJ0</v>
          </cell>
          <cell r="G392" t="str">
            <v xml:space="preserve">AMD Ryzen™ 5 7520U / 16GB LPDDR5 / 512GB PCIe® 3.0 SSD / 15.6-inch / FHD (1920 x 1080) 16:9  /  / Cool Silver /  / Win 11 Home / OFFICE HOME 24(IN)+M365 BASIC / </v>
          </cell>
          <cell r="H392">
            <v>34392</v>
          </cell>
          <cell r="I392">
            <v>27834</v>
          </cell>
          <cell r="J392">
            <v>32992</v>
          </cell>
          <cell r="K392">
            <v>26701</v>
          </cell>
          <cell r="L392">
            <v>1400</v>
          </cell>
          <cell r="M392">
            <v>1133</v>
          </cell>
          <cell r="N392" t="str">
            <v>01 - 29 MARCH</v>
          </cell>
          <cell r="O392" t="str">
            <v>(NB20260315)_Mar_Sellout Support_RF _Asus_Select</v>
          </cell>
        </row>
        <row r="393">
          <cell r="C393" t="str">
            <v>RF E1504FA-BQ2414WS</v>
          </cell>
          <cell r="E393" t="str">
            <v>E1504FA-BQ2414WS</v>
          </cell>
          <cell r="F393" t="str">
            <v>90NB0ZR2-M04090</v>
          </cell>
          <cell r="G393" t="str">
            <v xml:space="preserve">AMD Ryzen™ 5 7520U / 16GB DDR5 / 512GB PCIe® 3.0 SSD / 15.6-inch / 15.6" FHD ANTI-GLARE NON-TOUCH,250NITS,NTSC:45%,VIPS-NB(BQ) /  / Mixed Black / Backlit KB / Win 11 Home / OFFICE HOME 24(IN)+M365 BASIC / </v>
          </cell>
          <cell r="H393">
            <v>34392</v>
          </cell>
          <cell r="I393">
            <v>27834</v>
          </cell>
          <cell r="J393">
            <v>32992</v>
          </cell>
          <cell r="K393">
            <v>26701</v>
          </cell>
          <cell r="L393">
            <v>1400</v>
          </cell>
          <cell r="M393">
            <v>1133</v>
          </cell>
          <cell r="N393" t="str">
            <v>01 - 29 MARCH</v>
          </cell>
          <cell r="O393" t="str">
            <v>(NB20260315)_Mar_Sellout Support_RF _Asus_Select</v>
          </cell>
        </row>
        <row r="394">
          <cell r="C394" t="str">
            <v>RF E1404FA-EB2542WS</v>
          </cell>
          <cell r="E394" t="str">
            <v>E1404FA-EB2542WS</v>
          </cell>
          <cell r="F394" t="str">
            <v>90NB0ZS2-M01AU0</v>
          </cell>
          <cell r="G394" t="str">
            <v xml:space="preserve">AMD Ryzen™ 5 7520U / 16GB DDR5 / 512GB PCIe® 3.0 SSD / 14.0-inch / FHD (1920 x 1080) 16:9  /  / Mixed Black / NumberPad / Win 11 Home / OFFICE HOME 24(IN)+M365 BASIC / </v>
          </cell>
          <cell r="H394">
            <v>34392</v>
          </cell>
          <cell r="I394">
            <v>27834</v>
          </cell>
          <cell r="J394">
            <v>32992</v>
          </cell>
          <cell r="K394">
            <v>26701</v>
          </cell>
          <cell r="L394">
            <v>1400</v>
          </cell>
          <cell r="M394">
            <v>1133</v>
          </cell>
          <cell r="N394" t="str">
            <v>01 - 29 MARCH</v>
          </cell>
          <cell r="O394" t="str">
            <v>(NB20260315)_Mar_Sellout Support_RF _Asus_Select</v>
          </cell>
        </row>
        <row r="395">
          <cell r="C395" t="str">
            <v>RF E1504FA-BQ2543WS</v>
          </cell>
          <cell r="E395" t="str">
            <v>E1504FA-BQ2543WS</v>
          </cell>
          <cell r="F395" t="str">
            <v>90NB0ZR3-M042V0</v>
          </cell>
          <cell r="G395" t="str">
            <v xml:space="preserve">AMD Ryzen™ 5 7520U / 16GB LPDDR5 / 512GB PCIe® 3.0 SSD / 15.6-inch / FHD (1920 x 1080) 16:9  /  / Grey Green /  / Win 11 Home / OFFICE HOME 24(IN)+M365 BASIC / </v>
          </cell>
          <cell r="H395">
            <v>34392</v>
          </cell>
          <cell r="I395">
            <v>27834</v>
          </cell>
          <cell r="J395">
            <v>32992</v>
          </cell>
          <cell r="K395">
            <v>26701</v>
          </cell>
          <cell r="L395">
            <v>1400</v>
          </cell>
          <cell r="M395">
            <v>1133</v>
          </cell>
          <cell r="N395" t="str">
            <v>01 - 29 MARCH</v>
          </cell>
          <cell r="O395" t="str">
            <v>(NB20260315)_Mar_Sellout Support_RF _Asus_Select</v>
          </cell>
        </row>
        <row r="396">
          <cell r="C396" t="str">
            <v>RF E1404FA-EB2541WS</v>
          </cell>
          <cell r="E396" t="str">
            <v>E1404FA-EB2541WS</v>
          </cell>
          <cell r="F396" t="str">
            <v>90NB0ZS1-M01AT0</v>
          </cell>
          <cell r="G396" t="str">
            <v xml:space="preserve">AMD Ryzen™ 5 7520U / 16GB DDR5 / 512GB PCIe® 3.0 SSD / 14.0-inch / 14" FHD ANTI-GLARE NON-TOUCH,250NITS,NTSC:45%,VIPS-NB(EB) /  / Cool Silver / NumberPad / Win 11 Home / OFFICE HOME 24(IN)+M365 BASIC / </v>
          </cell>
          <cell r="H396">
            <v>34392</v>
          </cell>
          <cell r="I396">
            <v>27834</v>
          </cell>
          <cell r="J396">
            <v>32992</v>
          </cell>
          <cell r="K396">
            <v>26701</v>
          </cell>
          <cell r="L396">
            <v>1400</v>
          </cell>
          <cell r="M396">
            <v>1133</v>
          </cell>
          <cell r="N396" t="str">
            <v>01 - 29 MARCH</v>
          </cell>
          <cell r="O396" t="str">
            <v>(NB20260315)_Mar_Sellout Support_RF _Asus_Select</v>
          </cell>
        </row>
        <row r="397">
          <cell r="C397" t="str">
            <v>RF E1404FA-EB912WS</v>
          </cell>
          <cell r="E397" t="str">
            <v>E1404FA-EB912WS</v>
          </cell>
          <cell r="F397" t="str">
            <v>90NB0ZS1-M01HC0</v>
          </cell>
          <cell r="G397" t="str">
            <v xml:space="preserve">AMD Ryzen™ 5 7520U / 16GB DDR5 / 512GB PCIe® 3.0 SSD / 14.0-inch / 14" FHD ANTI-GLARE NON-TOUCH,250NITS,NTSC:45%,VIPS-NB(EB) /  / Cool Silver / NumberPad /  / FingerPrint /  / Win 11 Home / OFFICE HOME 24(IN)+M365 BASIC / </v>
          </cell>
          <cell r="H397">
            <v>34392</v>
          </cell>
          <cell r="I397">
            <v>27834</v>
          </cell>
          <cell r="J397">
            <v>32992</v>
          </cell>
          <cell r="K397">
            <v>26701</v>
          </cell>
          <cell r="L397">
            <v>1400</v>
          </cell>
          <cell r="M397">
            <v>1133</v>
          </cell>
          <cell r="N397" t="str">
            <v>01 - 29 MARCH</v>
          </cell>
          <cell r="O397" t="str">
            <v>(NB20260315)_Mar_Sellout Support_RF _Asus_Select</v>
          </cell>
        </row>
        <row r="398">
          <cell r="C398" t="str">
            <v>RF M1605YA-MB521WS</v>
          </cell>
          <cell r="E398" t="str">
            <v>M1605YA-MB521WS</v>
          </cell>
          <cell r="F398" t="str">
            <v>90NB10R1-M007L0</v>
          </cell>
          <cell r="G398" t="str">
            <v xml:space="preserve">AMD Ryzen™ 5 7530U /  /  / 8GB DDR4 / 512GB PCIe® 3.0 SSD / 16.0-inch / WUXGA (1920 x 1200) 16:10  /  / Tough Black /  /  / FingerPrint / Backlit KB / Win 11 Home / MS Office / </v>
          </cell>
          <cell r="H398">
            <v>35192</v>
          </cell>
          <cell r="I398">
            <v>28482</v>
          </cell>
          <cell r="J398">
            <v>33092</v>
          </cell>
          <cell r="K398">
            <v>26782</v>
          </cell>
          <cell r="L398">
            <v>2100</v>
          </cell>
          <cell r="M398">
            <v>1700</v>
          </cell>
          <cell r="N398" t="str">
            <v>01 - 29 MARCH</v>
          </cell>
          <cell r="O398" t="str">
            <v>(NB20260315)_Mar_Sellout Support_RF _Asus_Select</v>
          </cell>
        </row>
        <row r="399">
          <cell r="C399" t="str">
            <v>RF X515EA-EJ701WS</v>
          </cell>
          <cell r="E399" t="str">
            <v>X515EA-EJ701WS</v>
          </cell>
          <cell r="F399" t="str">
            <v>90NB0TY1-M02XL0</v>
          </cell>
          <cell r="G399" t="str">
            <v xml:space="preserve">Intel® Core™ i7-1165G7 /  /  / 8GB DDR4  + 8GB DDR4  / 512GB PCIe® 3.0 SSD / 15.6-inch / FHD (1920 x 1080) 16:9  /  / Slate Grey /Intel Iris Xᵉ Graphics  /  / FingerPrint /  / Win 11 Home / MS Office / </v>
          </cell>
          <cell r="H399">
            <v>37093</v>
          </cell>
          <cell r="I399">
            <v>30020</v>
          </cell>
          <cell r="J399">
            <v>33383</v>
          </cell>
          <cell r="K399">
            <v>27018</v>
          </cell>
          <cell r="L399">
            <v>3710</v>
          </cell>
          <cell r="M399">
            <v>3002</v>
          </cell>
          <cell r="N399" t="str">
            <v>01 - 29 MARCH</v>
          </cell>
          <cell r="O399" t="str">
            <v>(NB20260315)_Mar_Sellout Support_RF _Asus_Select</v>
          </cell>
        </row>
        <row r="400">
          <cell r="C400" t="str">
            <v>RF E1504FA-LK521WS</v>
          </cell>
          <cell r="E400" t="str">
            <v>E1504FA-LK521WS</v>
          </cell>
          <cell r="F400" t="str">
            <v>90NB0ZR1-M00J20</v>
          </cell>
          <cell r="G400" t="str">
            <v xml:space="preserve">AMD Ryzen™ 5 7520U /  /  / 8GB LPDDR5 / 512GB PCIe® 3.0 SSD / 15.6-inch / FHD (1920 x 1080) OLED 16:9  /  / Cool Silver / Backlit KB / Win 11 Home / MS Office / </v>
          </cell>
          <cell r="H400">
            <v>37592</v>
          </cell>
          <cell r="I400">
            <v>30424</v>
          </cell>
          <cell r="J400">
            <v>33392</v>
          </cell>
          <cell r="K400">
            <v>27025</v>
          </cell>
          <cell r="L400">
            <v>4200</v>
          </cell>
          <cell r="M400">
            <v>3399</v>
          </cell>
          <cell r="N400" t="str">
            <v>01 - 29 MARCH</v>
          </cell>
          <cell r="O400" t="str">
            <v>(NB20260315)_Mar_Sellout Support_RF _Asus_Select</v>
          </cell>
        </row>
        <row r="401">
          <cell r="C401" t="str">
            <v>RF E1504FA-LK522WS</v>
          </cell>
          <cell r="E401" t="str">
            <v>E1504FA-LK522WS</v>
          </cell>
          <cell r="F401" t="str">
            <v>90NB0ZR2-M00J30</v>
          </cell>
          <cell r="G401" t="str">
            <v xml:space="preserve">AMD Ryzen™ 5 7520U /  /  / 8GB LPDDR5 / 512GB PCIe® 3.0 SSD / 15.6-inch / FHD (1920 x 1080) OLED 16:9  /  / Mixed Black / Backlit KB / Win 11 Home / MS Office / </v>
          </cell>
          <cell r="H401">
            <v>37592</v>
          </cell>
          <cell r="I401">
            <v>30424</v>
          </cell>
          <cell r="J401">
            <v>33392</v>
          </cell>
          <cell r="K401">
            <v>27025</v>
          </cell>
          <cell r="L401">
            <v>4200</v>
          </cell>
          <cell r="M401">
            <v>3399</v>
          </cell>
          <cell r="N401" t="str">
            <v>01 - 29 MARCH</v>
          </cell>
          <cell r="O401" t="str">
            <v>(NB20260315)_Mar_Sellout Support_RF _Asus_Select</v>
          </cell>
        </row>
        <row r="402">
          <cell r="C402" t="str">
            <v>RF E1504FA-LK523WS</v>
          </cell>
          <cell r="E402" t="str">
            <v>E1504FA-LK523WS</v>
          </cell>
          <cell r="F402" t="str">
            <v>90NB0ZR3-M00J40</v>
          </cell>
          <cell r="G402" t="str">
            <v xml:space="preserve">AMD Ryzen™ 5 7520U /  /  / 8GB LPDDR5 / 512GB PCIe® 3.0 SSD / 15.6-inch / FHD (1920 x 1080) OLED 16:9  /  / Grey Green / Backlit KB / Win 11 Home / MS Office / </v>
          </cell>
          <cell r="H402">
            <v>37592</v>
          </cell>
          <cell r="I402">
            <v>30424</v>
          </cell>
          <cell r="J402">
            <v>33392</v>
          </cell>
          <cell r="K402">
            <v>27025</v>
          </cell>
          <cell r="L402">
            <v>4200</v>
          </cell>
          <cell r="M402">
            <v>3399</v>
          </cell>
          <cell r="N402" t="str">
            <v>01 - 29 MARCH</v>
          </cell>
          <cell r="O402" t="str">
            <v>(NB20260315)_Mar_Sellout Support_RF _Asus_Select</v>
          </cell>
        </row>
        <row r="403">
          <cell r="C403" t="str">
            <v>RF KM413UA-EB702TS</v>
          </cell>
          <cell r="E403" t="str">
            <v>KM413UA-EB702TS</v>
          </cell>
          <cell r="F403" t="str">
            <v>90NB0TMF-M02010</v>
          </cell>
          <cell r="G403" t="str">
            <v>R7-5700U//8G/512G PCIe SSD/INDIE BLACK/14.0"FHD/1Y international warranty//Finger Print/BK KB/MS Office</v>
          </cell>
          <cell r="H403">
            <v>40593</v>
          </cell>
          <cell r="I403">
            <v>32853</v>
          </cell>
          <cell r="J403">
            <v>33593</v>
          </cell>
          <cell r="K403">
            <v>27188</v>
          </cell>
          <cell r="L403">
            <v>7000</v>
          </cell>
          <cell r="M403">
            <v>5665</v>
          </cell>
          <cell r="N403" t="str">
            <v>01 - 29 MARCH</v>
          </cell>
          <cell r="O403" t="str">
            <v>(NB20260315)_Mar_Sellout Support_RF _Asus_Select</v>
          </cell>
        </row>
        <row r="404">
          <cell r="C404" t="str">
            <v>RF M1502QA-EJ741WS</v>
          </cell>
          <cell r="E404" t="str">
            <v>M1502QA-EJ741WS</v>
          </cell>
          <cell r="F404" t="str">
            <v>90NB1261-M004F0</v>
          </cell>
          <cell r="G404" t="str">
            <v xml:space="preserve">AMD Ryzen™ 7 5800HS /  /  / 16GB DDR4  / 512GB PCIe® 3.0 SSD / 15.6-inch / FHD (1920 x 1080) 16:9  /  / Quiet Blue /  / Win 11 Home / MS Office / </v>
          </cell>
          <cell r="H404">
            <v>34993</v>
          </cell>
          <cell r="I404">
            <v>28321</v>
          </cell>
          <cell r="J404">
            <v>33593</v>
          </cell>
          <cell r="K404">
            <v>27188</v>
          </cell>
          <cell r="L404">
            <v>1400</v>
          </cell>
          <cell r="M404">
            <v>1133</v>
          </cell>
          <cell r="N404" t="str">
            <v>01 - 29 MARCH</v>
          </cell>
          <cell r="O404" t="str">
            <v>(NB20260315)_Mar_Sellout Support_RF _Asus_Select</v>
          </cell>
        </row>
        <row r="405">
          <cell r="C405" t="str">
            <v>RF M1603QA-MB511WS</v>
          </cell>
          <cell r="E405" t="str">
            <v>M1603QA-MB511WS</v>
          </cell>
          <cell r="F405" t="str">
            <v>90NB0Y81-M00RJ0</v>
          </cell>
          <cell r="G405" t="str">
            <v>R5 5600H /  / 16GB DDR4 / 512GB SSD / 2K (1920 x 1200) 16:10 aspect ratio /  / FingerPrint / Backlit Keyboard / Quiet Blue / Win 11 / MS Office</v>
          </cell>
          <cell r="H405">
            <v>38493</v>
          </cell>
          <cell r="I405">
            <v>31153</v>
          </cell>
          <cell r="J405">
            <v>33593</v>
          </cell>
          <cell r="K405">
            <v>27188</v>
          </cell>
          <cell r="L405">
            <v>4900</v>
          </cell>
          <cell r="M405">
            <v>3965</v>
          </cell>
          <cell r="N405" t="str">
            <v>01 - 29 MARCH</v>
          </cell>
          <cell r="O405" t="str">
            <v>(NB20260315)_Mar_Sellout Support_RF _Asus_Select</v>
          </cell>
        </row>
        <row r="406">
          <cell r="C406" t="str">
            <v>RF M1603QA-MB512WS</v>
          </cell>
          <cell r="E406" t="str">
            <v>M1603QA-MB512WS</v>
          </cell>
          <cell r="F406" t="str">
            <v>90NB0Y82-M00050</v>
          </cell>
          <cell r="G406" t="str">
            <v>Ryzen™ 5 5600H  / AMD Radeon™ Vega 7 Graphics / 16GB DDR4 RAM / 512GB PCIe® 3.0 SSD / 16.0-inch / 2K (1920 x 1200) 16:10 aspect ratio / Transparent Silver / FingerPrint / Backlit Chiclet Keyboard / Office Home and Student 2021 included / Windows 11 Home</v>
          </cell>
          <cell r="H406">
            <v>38493</v>
          </cell>
          <cell r="I406">
            <v>31153</v>
          </cell>
          <cell r="J406">
            <v>33593</v>
          </cell>
          <cell r="K406">
            <v>27188</v>
          </cell>
          <cell r="L406">
            <v>4900</v>
          </cell>
          <cell r="M406">
            <v>3965</v>
          </cell>
          <cell r="N406" t="str">
            <v>01 - 29 MARCH</v>
          </cell>
          <cell r="O406" t="str">
            <v>(NB20260315)_Mar_Sellout Support_RF _Asus_Select</v>
          </cell>
        </row>
        <row r="407">
          <cell r="C407" t="str">
            <v>RF M3400QA-KM512WS</v>
          </cell>
          <cell r="E407" t="str">
            <v>M3400QA-KM512WS</v>
          </cell>
          <cell r="F407" t="str">
            <v>90NB0UG4-M000N0</v>
          </cell>
          <cell r="G407" t="str">
            <v xml:space="preserve">Ryzen™ 5 5600H  / 16GB DDR4 /  / 512GB PCIe® 3.0 SSD / 14.0-inch / 2.8K (2880 x 1800) OLED 16:10 aspect ratio / 90Hz refresh rate / AMD Radeon™ Graphics /  / Solar Silver /  / FingerPrint / Backlit Chiclet Keyboard / Windows 11 Home / Office Home and Student 2021 </v>
          </cell>
          <cell r="H407">
            <v>40593</v>
          </cell>
          <cell r="I407">
            <v>32853</v>
          </cell>
          <cell r="J407">
            <v>33593</v>
          </cell>
          <cell r="K407">
            <v>27188</v>
          </cell>
          <cell r="L407">
            <v>7000</v>
          </cell>
          <cell r="M407">
            <v>5665</v>
          </cell>
          <cell r="N407" t="str">
            <v>01 - 29 MARCH</v>
          </cell>
          <cell r="O407" t="str">
            <v>(NB20260315)_Mar_Sellout Support_RF _Asus_Select</v>
          </cell>
        </row>
        <row r="408">
          <cell r="C408" t="str">
            <v>RF TM420UA-EC501TS</v>
          </cell>
          <cell r="E408" t="str">
            <v>TM420UA-EC501TS</v>
          </cell>
          <cell r="F408" t="str">
            <v>90NB0U21-M01050</v>
          </cell>
          <cell r="G408" t="str">
            <v>R5-5500U//8G/512G PCIe SSD/BESPOKE BLACK/14.0" FHD IPS TOUCH/1Y international warranty + McAfee/Office H&amp;S/Stylus/Finger Print</v>
          </cell>
          <cell r="H408">
            <v>35693</v>
          </cell>
          <cell r="I408">
            <v>28887</v>
          </cell>
          <cell r="J408">
            <v>33593</v>
          </cell>
          <cell r="K408">
            <v>27188</v>
          </cell>
          <cell r="L408">
            <v>2100</v>
          </cell>
          <cell r="M408">
            <v>1699</v>
          </cell>
          <cell r="N408" t="str">
            <v>01 - 29 MARCH</v>
          </cell>
          <cell r="O408" t="str">
            <v>(NB20260315)_Mar_Sellout Support_RF _Asus_Select</v>
          </cell>
        </row>
        <row r="409">
          <cell r="C409" t="str">
            <v>RF K513EA-L703WS</v>
          </cell>
          <cell r="E409" t="str">
            <v>K513EA-L703WS</v>
          </cell>
          <cell r="F409" t="str">
            <v>90NB0SG2-M43770</v>
          </cell>
          <cell r="G409" t="str">
            <v xml:space="preserve">Intel® i7-1165G7  / 8GB DDR4 /  / 1TB HDD + 256GB PCIe® 3.0 SSD / 15.6-inch / FHD (1920 x 1080) OLED 16:9 aspect ratio /  / Intel Iris Xᵉ Graphics /  / Transparent Silver /  / FingerPrint / Backlit Chiclet Keyboard   / Windows 11 Home / Office Home and Student 2021 </v>
          </cell>
          <cell r="H409">
            <v>37794</v>
          </cell>
          <cell r="I409">
            <v>30588</v>
          </cell>
          <cell r="J409">
            <v>33594</v>
          </cell>
          <cell r="K409">
            <v>27188</v>
          </cell>
          <cell r="L409">
            <v>4200</v>
          </cell>
          <cell r="M409">
            <v>3400</v>
          </cell>
          <cell r="N409" t="str">
            <v>01 - 29 MARCH</v>
          </cell>
          <cell r="O409" t="str">
            <v>(NB20260315)_Mar_Sellout Support_RF _Asus_Select</v>
          </cell>
        </row>
        <row r="410">
          <cell r="C410" t="str">
            <v>RF M1505YA-LK541WS</v>
          </cell>
          <cell r="E410" t="str">
            <v>M1505YA-LK541WS</v>
          </cell>
          <cell r="F410" t="str">
            <v>90NB10Q1-M005R0</v>
          </cell>
          <cell r="G410" t="str">
            <v xml:space="preserve">AMD Ryzen™ 5 7530U /  /  / 16GB (8*2) DDR4 / 512GB PCIe® 3.0 SSD / 15.6-inch / FHD (1920 x 1080) OLED 16:9  /  / Indie Black /  /  / FingerPrint / Backlit KB / Win 11 Home / MS Office / </v>
          </cell>
          <cell r="H410">
            <v>44792</v>
          </cell>
          <cell r="I410">
            <v>36251</v>
          </cell>
          <cell r="J410">
            <v>34292</v>
          </cell>
          <cell r="K410">
            <v>27753</v>
          </cell>
          <cell r="L410">
            <v>10500</v>
          </cell>
          <cell r="M410">
            <v>8498</v>
          </cell>
          <cell r="N410" t="str">
            <v>01 - 29 MARCH</v>
          </cell>
          <cell r="O410" t="str">
            <v>(NB20260315)_Mar_Sellout Support_RF _Asus_Select</v>
          </cell>
        </row>
        <row r="411">
          <cell r="C411" t="str">
            <v>RF M1603QA-MB711WS</v>
          </cell>
          <cell r="E411" t="str">
            <v>M1603QA-MB711WS</v>
          </cell>
          <cell r="F411" t="str">
            <v>90NB0Y81-M00RL0</v>
          </cell>
          <cell r="G411" t="str">
            <v>R7 5800HS /  / 16GB DDR4 / 512GB SSD / 2K (1920 x 1200) 16:10 aspect ratio /  / FingerPrint / Backlit Keyboard / Quiet Blue / Win 11 / MS Office</v>
          </cell>
          <cell r="H411">
            <v>41293</v>
          </cell>
          <cell r="I411">
            <v>33419</v>
          </cell>
          <cell r="J411">
            <v>34293</v>
          </cell>
          <cell r="K411">
            <v>27754</v>
          </cell>
          <cell r="L411">
            <v>7000</v>
          </cell>
          <cell r="M411">
            <v>5665</v>
          </cell>
          <cell r="N411" t="str">
            <v>01 - 29 MARCH</v>
          </cell>
          <cell r="O411" t="str">
            <v>(NB20260315)_Mar_Sellout Support_RF _Asus_Select</v>
          </cell>
        </row>
        <row r="412">
          <cell r="C412" t="str">
            <v>RF M1603QA-MB712WS</v>
          </cell>
          <cell r="E412" t="str">
            <v>M1603QA-MB712WS</v>
          </cell>
          <cell r="F412" t="str">
            <v>90NB0Y82-M002P0</v>
          </cell>
          <cell r="G412" t="str">
            <v>Ryzen™ 7 5800HS  / AMD Radeon™ Vega 7 Graphics / 16GB DDR4 RAM / 512GB PCIe® 3.0 SSD / 16.0-inch / 2K (1920 x 1200) 16:10 aspect ratio / Transparent Silver / FingerPrint / Backlit Chiclet Keyboard / Office Home and Student 2021 included / Windows 11 Home</v>
          </cell>
          <cell r="H412">
            <v>41293</v>
          </cell>
          <cell r="I412">
            <v>33419</v>
          </cell>
          <cell r="J412">
            <v>34293</v>
          </cell>
          <cell r="K412">
            <v>27754</v>
          </cell>
          <cell r="L412">
            <v>7000</v>
          </cell>
          <cell r="M412">
            <v>5665</v>
          </cell>
          <cell r="N412" t="str">
            <v>01 - 29 MARCH</v>
          </cell>
          <cell r="O412" t="str">
            <v>(NB20260315)_Mar_Sellout Support_RF _Asus_Select</v>
          </cell>
        </row>
        <row r="413">
          <cell r="C413" t="str">
            <v>RF M1603QA-MB742WS</v>
          </cell>
          <cell r="E413" t="str">
            <v>M1603QA-MB742WS</v>
          </cell>
          <cell r="F413" t="str">
            <v>90NB0Y82-M00RM0</v>
          </cell>
          <cell r="G413" t="str">
            <v xml:space="preserve">AMD Ryzen™ 7 5800HS /  /  / 16GB (8*2) DDR4 / 512GB PCIe® 3.0 SSD / 16.0-inch / WUXGA (1920 x 1200) 16:10  /  / Transparent Silver /  /  / FingerPrint / Backlit KB / Win 11 Home / MS Office / </v>
          </cell>
          <cell r="H413">
            <v>41293</v>
          </cell>
          <cell r="I413">
            <v>33419</v>
          </cell>
          <cell r="J413">
            <v>34293</v>
          </cell>
          <cell r="K413">
            <v>27754</v>
          </cell>
          <cell r="L413">
            <v>7000</v>
          </cell>
          <cell r="M413">
            <v>5665</v>
          </cell>
          <cell r="N413" t="str">
            <v>01 - 29 MARCH</v>
          </cell>
          <cell r="O413" t="str">
            <v>(NB20260315)_Mar_Sellout Support_RF _Asus_Select</v>
          </cell>
        </row>
        <row r="414">
          <cell r="C414" t="str">
            <v>RF X1407QA-LY038WS</v>
          </cell>
          <cell r="E414" t="str">
            <v>X1407QA-LY038WS</v>
          </cell>
          <cell r="F414" t="str">
            <v>90NB1601-M002F0</v>
          </cell>
          <cell r="G414" t="str">
            <v xml:space="preserve">SNAPDRAGON X X126100 / LPDDR5X 16G [ON BD.] / 512G PCIE G4 / 14.0-inch / 14" WQXGA ANTI-GLARE NON-TOUCH,400NITS,sRGB 100%,IPS-NB(KP) /  / 1B-QUIET BLUE / Backlit KB / Win 11 Home / MS Office 2024 + MSO 365 / </v>
          </cell>
          <cell r="H414">
            <v>43393</v>
          </cell>
          <cell r="I414">
            <v>35119</v>
          </cell>
          <cell r="J414">
            <v>34293</v>
          </cell>
          <cell r="K414">
            <v>27754</v>
          </cell>
          <cell r="L414">
            <v>9100</v>
          </cell>
          <cell r="M414">
            <v>7365</v>
          </cell>
          <cell r="N414" t="str">
            <v>01 - 29 MARCH</v>
          </cell>
          <cell r="O414" t="str">
            <v>(NB20260315)_Mar_Sellout Support_RF _Asus_Select</v>
          </cell>
        </row>
        <row r="415">
          <cell r="C415" t="str">
            <v>RF X1504VA-E83959WS</v>
          </cell>
          <cell r="E415" t="str">
            <v>X1504VA-E83959WS</v>
          </cell>
          <cell r="F415" t="str">
            <v>90NB10J1-M047A0</v>
          </cell>
          <cell r="G415" t="str">
            <v xml:space="preserve">Intel® Core™ i3-1315U  / DDR4 8G+8G[ON BD.] / 512GB PCIe® 4.0 SSD / 15.6-inch / 15.6" FHD GLARE TOUCH(OTP),250NITS,NTSC:45%,VIPS-NB(E8) /  / Quiet Blue / Backlit KB / Win 11 Home / OFFICE HOME 2024 (IN)+M365 BASIC / </v>
          </cell>
          <cell r="H415">
            <v>35992</v>
          </cell>
          <cell r="I415">
            <v>29129</v>
          </cell>
          <cell r="J415">
            <v>34592</v>
          </cell>
          <cell r="K415">
            <v>27996</v>
          </cell>
          <cell r="L415">
            <v>1400</v>
          </cell>
          <cell r="M415">
            <v>1133</v>
          </cell>
          <cell r="N415" t="str">
            <v>01 - 29 MARCH</v>
          </cell>
          <cell r="O415" t="str">
            <v>(NB20260315)_Mar_Sellout Support_RF _Asus_Select</v>
          </cell>
        </row>
        <row r="416">
          <cell r="C416" t="str">
            <v>RF M1605YA-MB531WS</v>
          </cell>
          <cell r="E416" t="str">
            <v>M1605YA-MB531WS</v>
          </cell>
          <cell r="F416" t="str">
            <v>90NB10R1-M007N0</v>
          </cell>
          <cell r="G416" t="str">
            <v xml:space="preserve">AMD Ryzen™ 5 7530U /  /  / 8GB DDR4 / 1TB PCIe® 3.0 SSD / 16.0-inch / WUXGA (1920 x 1200) 16:10  /  / Tough Black /  /  / FingerPrint / Backlit KB / Win 11 Home / MS Office / </v>
          </cell>
          <cell r="H416">
            <v>38392</v>
          </cell>
          <cell r="I416">
            <v>31071</v>
          </cell>
          <cell r="J416">
            <v>34892</v>
          </cell>
          <cell r="K416">
            <v>28239</v>
          </cell>
          <cell r="L416">
            <v>3500</v>
          </cell>
          <cell r="M416">
            <v>2832</v>
          </cell>
          <cell r="N416" t="str">
            <v>01 - 29 MARCH</v>
          </cell>
          <cell r="O416" t="str">
            <v>(NB20260315)_Mar_Sellout Support_RF _Asus_Select</v>
          </cell>
        </row>
        <row r="417">
          <cell r="C417" t="str">
            <v>RF X1404VA-NK521WS</v>
          </cell>
          <cell r="E417" t="str">
            <v>X1404VA-NK521WS</v>
          </cell>
          <cell r="F417" t="str">
            <v>90NB10I1-M001V0</v>
          </cell>
          <cell r="G417" t="str">
            <v xml:space="preserve">Intel®Core™ i5-1335U /  /  / 8GB (4*2) DDR4 / 512GB PCIe® 4.0 SSD /14.0-inch/FHD (1920 x 1080) 16:9  /  / Quiet Blue /  /  / FingerPrint /  / Win 11 Home / MS Office / </v>
          </cell>
          <cell r="H417">
            <v>38392</v>
          </cell>
          <cell r="I417">
            <v>31071</v>
          </cell>
          <cell r="J417">
            <v>34892</v>
          </cell>
          <cell r="K417">
            <v>28239</v>
          </cell>
          <cell r="L417">
            <v>3500</v>
          </cell>
          <cell r="M417">
            <v>2832</v>
          </cell>
          <cell r="N417" t="str">
            <v>01 - 29 MARCH</v>
          </cell>
          <cell r="O417" t="str">
            <v>(NB20260315)_Mar_Sellout Support_RF _Asus_Select</v>
          </cell>
        </row>
        <row r="418">
          <cell r="C418" t="str">
            <v>RF X1404VA-NK522WS</v>
          </cell>
          <cell r="E418" t="str">
            <v>X1404VA-NK522WS</v>
          </cell>
          <cell r="F418" t="str">
            <v>90NB10I2-M001U0</v>
          </cell>
          <cell r="G418" t="str">
            <v xml:space="preserve">Intel®Core™ i5-1335U /  /  / 8GB (4*2) DDR4 / 512GB PCIe® 4.0 SSD /14.0-inch/FHD (1920 x 1080) 16:9  /  / COOL SILVER /  /  / FingerPrint /  / Win 11 Home / MS Office / </v>
          </cell>
          <cell r="H418">
            <v>38392</v>
          </cell>
          <cell r="I418">
            <v>31071</v>
          </cell>
          <cell r="J418">
            <v>34892</v>
          </cell>
          <cell r="K418">
            <v>28239</v>
          </cell>
          <cell r="L418">
            <v>3500</v>
          </cell>
          <cell r="M418">
            <v>2832</v>
          </cell>
          <cell r="N418" t="str">
            <v>01 - 29 MARCH</v>
          </cell>
          <cell r="O418" t="str">
            <v>(NB20260315)_Mar_Sellout Support_RF _Asus_Select</v>
          </cell>
        </row>
        <row r="419">
          <cell r="C419" t="str">
            <v>RF S433EA-AM701TS</v>
          </cell>
          <cell r="E419" t="str">
            <v>S433EA-AM701TS</v>
          </cell>
          <cell r="F419" t="str">
            <v>90NB0RL4-M04960</v>
          </cell>
          <cell r="G419" t="str">
            <v>i7-1165G7//8G/512 PCIe SSD/32G Optane/INDIE BLACK/14.0" FHD 72%NTSC/1Y international warranty/Office H&amp;S/Finger Print/Backlit KB</v>
          </cell>
          <cell r="H419">
            <v>39594</v>
          </cell>
          <cell r="I419">
            <v>32044</v>
          </cell>
          <cell r="J419">
            <v>34974</v>
          </cell>
          <cell r="K419">
            <v>28305</v>
          </cell>
          <cell r="L419">
            <v>4620</v>
          </cell>
          <cell r="M419">
            <v>3739</v>
          </cell>
          <cell r="N419" t="str">
            <v>01 - 29 MARCH</v>
          </cell>
          <cell r="O419" t="str">
            <v>(NB20260315)_Mar_Sellout Support_RF _Asus_Select</v>
          </cell>
        </row>
        <row r="420">
          <cell r="C420" t="str">
            <v>RF X1404VA-NK762WS</v>
          </cell>
          <cell r="E420" t="str">
            <v>X1404VA-NK762WS</v>
          </cell>
          <cell r="F420" t="str">
            <v>90NB10I1-M00WA0</v>
          </cell>
          <cell r="G420" t="str">
            <v xml:space="preserve">Intel® Core™ i5-1335U / 8GB DDR4  / 512GB PCIe® 4.0 SSD / 14.0-inch / FHD (1920 x 1080) 16:9  /  / Quiet Blue / Backlit KB / Win 11 Home / OFFICE HOME 2024 (IN)+M365 BASIC / </v>
          </cell>
          <cell r="H420">
            <v>39192</v>
          </cell>
          <cell r="I420">
            <v>31719</v>
          </cell>
          <cell r="J420">
            <v>34992</v>
          </cell>
          <cell r="K420">
            <v>28320</v>
          </cell>
          <cell r="L420">
            <v>4200</v>
          </cell>
          <cell r="M420">
            <v>3399</v>
          </cell>
          <cell r="N420" t="str">
            <v>01 - 29 MARCH</v>
          </cell>
          <cell r="O420" t="str">
            <v>(NB20260315)_Mar_Sellout Support_RF _Asus_Select</v>
          </cell>
        </row>
        <row r="421">
          <cell r="C421" t="str">
            <v>RF X1404VA-NK763WS</v>
          </cell>
          <cell r="E421" t="str">
            <v>X1404VA-NK763WS</v>
          </cell>
          <cell r="F421" t="str">
            <v>90NB10I2-M00WB0</v>
          </cell>
          <cell r="G421" t="str">
            <v xml:space="preserve">Intel® Core™ i5-1335U / 8GB DDR4  / 512GB PCIe® 4.0 SSD / 14.0-inch / FHD (1920 x 1080) 16:9  /  / COOL SILVER / Backlit KB / Win 11 Home / OFFICE HOME 2024 (IN)+M365 BASIC / </v>
          </cell>
          <cell r="H421">
            <v>39192</v>
          </cell>
          <cell r="I421">
            <v>31719</v>
          </cell>
          <cell r="J421">
            <v>34992</v>
          </cell>
          <cell r="K421">
            <v>28320</v>
          </cell>
          <cell r="L421">
            <v>4200</v>
          </cell>
          <cell r="M421">
            <v>3399</v>
          </cell>
          <cell r="N421" t="str">
            <v>01 - 29 MARCH</v>
          </cell>
          <cell r="O421" t="str">
            <v>(NB20260315)_Mar_Sellout Support_RF _Asus_Select</v>
          </cell>
        </row>
        <row r="422">
          <cell r="C422" t="str">
            <v>RF X1404VA-NK804WS</v>
          </cell>
          <cell r="E422" t="str">
            <v>X1404VA-NK804WS</v>
          </cell>
          <cell r="F422" t="str">
            <v>90NB10I2-M00XY0</v>
          </cell>
          <cell r="G422" t="str">
            <v xml:space="preserve">Intel® Core™ i5-1334U / 8GB  DDR4 / 512GB PCIe® 4.0 SSD / 14.0-inch/FHD (1920 x 1080) 16:9 /  / COOL SILVER / Backlit KB / Win 11 Home / Office Home 2024 &amp; M365 Basic 1 Year / </v>
          </cell>
          <cell r="H422">
            <v>39192</v>
          </cell>
          <cell r="I422">
            <v>31719</v>
          </cell>
          <cell r="J422">
            <v>34992</v>
          </cell>
          <cell r="K422">
            <v>28320</v>
          </cell>
          <cell r="L422">
            <v>4200</v>
          </cell>
          <cell r="M422">
            <v>3399</v>
          </cell>
          <cell r="N422" t="str">
            <v>01 - 29 MARCH</v>
          </cell>
          <cell r="O422" t="str">
            <v>(NB20260315)_Mar_Sellout Support_RF _Asus_Select</v>
          </cell>
        </row>
        <row r="423">
          <cell r="C423" t="str">
            <v>RF X1504VA-NJ1765WS</v>
          </cell>
          <cell r="E423" t="str">
            <v>X1504VA-NJ1765WS</v>
          </cell>
          <cell r="F423" t="str">
            <v>90NB10J2-M02800</v>
          </cell>
          <cell r="G423" t="str">
            <v xml:space="preserve">Intel® Core™ i5-1334U  / 8GB DDR4  / 512GB PCIe® 4.0 SSD / 15.6-inch / FHD (1920 x 1080) 16:9  /  / COOL SILVER / Backlit KB / Win 11 Home / Office Home 2024 &amp; M365 Basic 1 Year / </v>
          </cell>
          <cell r="H423">
            <v>39192</v>
          </cell>
          <cell r="I423">
            <v>31719</v>
          </cell>
          <cell r="J423">
            <v>34992</v>
          </cell>
          <cell r="K423">
            <v>28320</v>
          </cell>
          <cell r="L423">
            <v>4200</v>
          </cell>
          <cell r="M423">
            <v>3399</v>
          </cell>
          <cell r="N423" t="str">
            <v>01 - 29 MARCH</v>
          </cell>
          <cell r="O423" t="str">
            <v>(NB20260315)_Mar_Sellout Support_RF _Asus_Select</v>
          </cell>
        </row>
        <row r="424">
          <cell r="C424" t="str">
            <v>RF X1504VA-NJ1766WS</v>
          </cell>
          <cell r="E424" t="str">
            <v>X1504VA-NJ1766WS</v>
          </cell>
          <cell r="F424" t="str">
            <v>90NB10J1-M02SL0</v>
          </cell>
          <cell r="G424" t="str">
            <v xml:space="preserve">Intel® Core™ i5-1334U  / 8GB DDR4  / 512GB PCIe® 4.0 SSD / 15.6-inch / FHD (1920 x 1080) 16:9  /  / Quiet Blue / Backlit KB / Win 11 Home / Office Home 2024 &amp; M365 Basic 1 Year / </v>
          </cell>
          <cell r="H424">
            <v>39192</v>
          </cell>
          <cell r="I424">
            <v>31719</v>
          </cell>
          <cell r="J424">
            <v>34992</v>
          </cell>
          <cell r="K424">
            <v>28320</v>
          </cell>
          <cell r="L424">
            <v>4200</v>
          </cell>
          <cell r="M424">
            <v>3399</v>
          </cell>
          <cell r="N424" t="str">
            <v>01 - 29 MARCH</v>
          </cell>
          <cell r="O424" t="str">
            <v>(NB20260315)_Mar_Sellout Support_RF _Asus_Select</v>
          </cell>
        </row>
        <row r="425">
          <cell r="C425" t="str">
            <v>RF X1504VA-NJ521WS</v>
          </cell>
          <cell r="E425" t="str">
            <v>X1504VA-NJ521WS</v>
          </cell>
          <cell r="F425" t="str">
            <v>90NB10J1-M00CT0</v>
          </cell>
          <cell r="G425" t="str">
            <v xml:space="preserve">Intel®Core™ i5-1335U /  /  / 8GB (4*2) DDR4 / 512GB PCIe® 4.0 SSD / 15.6-inch / FHD (1920 x 1080) 16:9  /  / Quiet Blue / Backlit KB / Win 11 Home / MS Office / </v>
          </cell>
          <cell r="H425">
            <v>39192</v>
          </cell>
          <cell r="I425">
            <v>31719</v>
          </cell>
          <cell r="J425">
            <v>34992</v>
          </cell>
          <cell r="K425">
            <v>28320</v>
          </cell>
          <cell r="L425">
            <v>4200</v>
          </cell>
          <cell r="M425">
            <v>3399</v>
          </cell>
          <cell r="N425" t="str">
            <v>01 - 29 MARCH</v>
          </cell>
          <cell r="O425" t="str">
            <v>(NB20260315)_Mar_Sellout Support_RF _Asus_Select</v>
          </cell>
        </row>
        <row r="426">
          <cell r="C426" t="str">
            <v>RF X1504VA-NJ522WS</v>
          </cell>
          <cell r="E426" t="str">
            <v>X1504VA-NJ522WS</v>
          </cell>
          <cell r="F426" t="str">
            <v>90NB10J2-M00CU0</v>
          </cell>
          <cell r="G426" t="str">
            <v xml:space="preserve">Intel®Core™ i5-1335U /  /  / 8GB (4*2) DDR4 / 512GB PCIe® 4.0 SSD / 15.6-inch / FHD (1920 x 1080) 16:9  /  / COOL SILVER / Backlit KB / Win 11 Home / MS Office / </v>
          </cell>
          <cell r="H426">
            <v>39192</v>
          </cell>
          <cell r="I426">
            <v>31719</v>
          </cell>
          <cell r="J426">
            <v>34992</v>
          </cell>
          <cell r="K426">
            <v>28320</v>
          </cell>
          <cell r="L426">
            <v>4200</v>
          </cell>
          <cell r="M426">
            <v>3399</v>
          </cell>
          <cell r="N426" t="str">
            <v>01 - 29 MARCH</v>
          </cell>
          <cell r="O426" t="str">
            <v>(NB20260315)_Mar_Sellout Support_RF _Asus_Select</v>
          </cell>
        </row>
        <row r="427">
          <cell r="C427" t="str">
            <v>RF X1504VA-NJ523WS</v>
          </cell>
          <cell r="E427" t="str">
            <v>X1504VA-NJ523WS</v>
          </cell>
          <cell r="F427" t="str">
            <v>90NB10J1-M00CV0</v>
          </cell>
          <cell r="G427" t="str">
            <v xml:space="preserve">Intel®Core™ i5-1335U /  /  / 8GB (4*2) DDR4 / 512GB PCIe® 4.0 SSD / 15.6-inch / FHD (1920 x 1080) 16:9  /  / Quiet Blue /  /  / FingerPrint /  / Win 11 Home / MS Office / </v>
          </cell>
          <cell r="H427">
            <v>39192</v>
          </cell>
          <cell r="I427">
            <v>31719</v>
          </cell>
          <cell r="J427">
            <v>34992</v>
          </cell>
          <cell r="K427">
            <v>28320</v>
          </cell>
          <cell r="L427">
            <v>4200</v>
          </cell>
          <cell r="M427">
            <v>3399</v>
          </cell>
          <cell r="N427" t="str">
            <v>01 - 29 MARCH</v>
          </cell>
          <cell r="O427" t="str">
            <v>(NB20260315)_Mar_Sellout Support_RF _Asus_Select</v>
          </cell>
        </row>
        <row r="428">
          <cell r="C428" t="str">
            <v>RF X1504VA-NJ524WS</v>
          </cell>
          <cell r="E428" t="str">
            <v>X1504VA-NJ524WS</v>
          </cell>
          <cell r="F428" t="str">
            <v>90NB10J2-M00CW0</v>
          </cell>
          <cell r="G428" t="str">
            <v xml:space="preserve">Intel®Core™ i5-1335U /  /  / 8GB (4*2) DDR4 / 512GB PCIe® 4.0 SSD / 15.6-inch / FHD (1920 x 1080) 16:9  /  / COOL SILVER /  /  / FingerPrint /  / Win 11 Home / MS Office / </v>
          </cell>
          <cell r="H428">
            <v>39192</v>
          </cell>
          <cell r="I428">
            <v>31719</v>
          </cell>
          <cell r="J428">
            <v>34992</v>
          </cell>
          <cell r="K428">
            <v>28320</v>
          </cell>
          <cell r="L428">
            <v>4200</v>
          </cell>
          <cell r="M428">
            <v>3399</v>
          </cell>
          <cell r="N428" t="str">
            <v>01 - 29 MARCH</v>
          </cell>
          <cell r="O428" t="str">
            <v>(NB20260315)_Mar_Sellout Support_RF _Asus_Select</v>
          </cell>
        </row>
        <row r="429">
          <cell r="C429" t="str">
            <v>RF TN3402QA-LZ751WS</v>
          </cell>
          <cell r="E429" t="str">
            <v>TN3402QA-LZ751WS</v>
          </cell>
          <cell r="F429" t="str">
            <v>90NB0WT2-M00BW0</v>
          </cell>
          <cell r="G429" t="str">
            <v>AMD Ryzen™ 7 5800HS /  /  / 16GB (8*2) DDR4 / 1TB PCIe® 3.0 SSD / 14.0-inch / WUXGA (1920 x 1200) 16:10  /  / Cool Silver / NumberPad /  / FingerPrint / Backlit KB / Win 11 Home / MS Office / Stylus</v>
          </cell>
          <cell r="H429">
            <v>41994</v>
          </cell>
          <cell r="I429">
            <v>33987</v>
          </cell>
          <cell r="J429">
            <v>34994</v>
          </cell>
          <cell r="K429">
            <v>28321</v>
          </cell>
          <cell r="L429">
            <v>7000</v>
          </cell>
          <cell r="M429">
            <v>5666</v>
          </cell>
          <cell r="N429" t="str">
            <v>01 - 29 MARCH</v>
          </cell>
          <cell r="O429" t="str">
            <v>(NB20260315)_Mar_Sellout Support_RF _Asus_Select</v>
          </cell>
        </row>
        <row r="430">
          <cell r="C430" t="str">
            <v>RF UM425UA-AM702TS</v>
          </cell>
          <cell r="E430" t="str">
            <v>UM425UA-AM702TS</v>
          </cell>
          <cell r="F430" t="str">
            <v>90NB0TJ2-M00990</v>
          </cell>
          <cell r="G430" t="str">
            <v>R7-5700U//16G/512G PCIe SSD/LILAC MIST/14" FHD/1Y international warranty + McAfee/Office H&amp;S/NUMPAD/Zenbook Sleeve/Audio Jack Dongle</v>
          </cell>
          <cell r="H430">
            <v>41994</v>
          </cell>
          <cell r="I430">
            <v>33987</v>
          </cell>
          <cell r="J430">
            <v>34994</v>
          </cell>
          <cell r="K430">
            <v>28321</v>
          </cell>
          <cell r="L430">
            <v>7000</v>
          </cell>
          <cell r="M430">
            <v>5666</v>
          </cell>
          <cell r="N430" t="str">
            <v>01 - 29 MARCH</v>
          </cell>
          <cell r="O430" t="str">
            <v>(NB20260315)_Mar_Sellout Support_RF _Asus_Select</v>
          </cell>
        </row>
        <row r="431">
          <cell r="C431" t="str">
            <v>RF S433EA-AM501TS</v>
          </cell>
          <cell r="E431" t="str">
            <v>S433EA-AM501TS</v>
          </cell>
          <cell r="F431" t="str">
            <v>90NB0RL4-M04940</v>
          </cell>
          <cell r="G431" t="str">
            <v>i5-1135G7//8G/512G PCIe SSD + Optane 32G/INDIE BLACK/14.0" FHD 72%NTSC/1Y international warranty/Office H&amp;S/Finger Print/Backlit KB</v>
          </cell>
          <cell r="H431">
            <v>39193</v>
          </cell>
          <cell r="I431">
            <v>31720</v>
          </cell>
          <cell r="J431">
            <v>35273</v>
          </cell>
          <cell r="K431">
            <v>28547</v>
          </cell>
          <cell r="L431">
            <v>3920</v>
          </cell>
          <cell r="M431">
            <v>3173</v>
          </cell>
          <cell r="N431" t="str">
            <v>01 - 29 MARCH</v>
          </cell>
          <cell r="O431" t="str">
            <v>(NB20260315)_Mar_Sellout Support_RF _Asus_Select</v>
          </cell>
        </row>
        <row r="432">
          <cell r="C432" t="str">
            <v>RF S433EA-AM503TS</v>
          </cell>
          <cell r="E432" t="str">
            <v>S433EA-AM503TS</v>
          </cell>
          <cell r="F432" t="str">
            <v>90NB0RL2-M04950</v>
          </cell>
          <cell r="G432" t="str">
            <v>i5-1135G7//8G/512G PCIe SSD + Optane 32G/GAIA GREEN/14.0" FHD 72%NTSC/1Y international warranty/Office H&amp;S/Finger Print/Backlit KB</v>
          </cell>
          <cell r="H432">
            <v>39193</v>
          </cell>
          <cell r="I432">
            <v>31720</v>
          </cell>
          <cell r="J432">
            <v>35273</v>
          </cell>
          <cell r="K432">
            <v>28547</v>
          </cell>
          <cell r="L432">
            <v>3920</v>
          </cell>
          <cell r="M432">
            <v>3173</v>
          </cell>
          <cell r="N432" t="str">
            <v>01 - 29 MARCH</v>
          </cell>
          <cell r="O432" t="str">
            <v>(NB20260315)_Mar_Sellout Support_RF _Asus_Select</v>
          </cell>
        </row>
        <row r="433">
          <cell r="C433" t="str">
            <v>RF UM325UA-KG501TS</v>
          </cell>
          <cell r="E433" t="str">
            <v>UM325UA-KG501TS</v>
          </cell>
          <cell r="F433" t="str">
            <v>90NB0TR1-M00250</v>
          </cell>
          <cell r="G433" t="str">
            <v>R5-5500U//8G/512G PCIe SSD/PINE GREY/13.3 OLED/1Y international warranty + McAfee/Office H&amp;S/NUMPAD/Zenbook Sleeve/Audio Jack Dongle</v>
          </cell>
          <cell r="H433">
            <v>40194</v>
          </cell>
          <cell r="I433">
            <v>32530</v>
          </cell>
          <cell r="J433">
            <v>35294</v>
          </cell>
          <cell r="K433">
            <v>28564</v>
          </cell>
          <cell r="L433">
            <v>4900</v>
          </cell>
          <cell r="M433">
            <v>3966</v>
          </cell>
          <cell r="N433" t="str">
            <v>01 - 29 MARCH</v>
          </cell>
          <cell r="O433" t="str">
            <v>(NB20260315)_Mar_Sellout Support_RF _Asus_Select</v>
          </cell>
        </row>
        <row r="434">
          <cell r="C434" t="str">
            <v>RF X1504VAP-BQ1321WS</v>
          </cell>
          <cell r="E434" t="str">
            <v>X1504VAP-BQ1321WS</v>
          </cell>
          <cell r="F434" t="str">
            <v>90NB13Y2-M01PZ0</v>
          </cell>
          <cell r="G434" t="str">
            <v xml:space="preserve">INTEL CORE 3 100U / 8GB DDR5 / 512GB PCIe® 4.0 SSD / 15.6-inch / 15.6" FHD ANTI-GLARE NON-TOUCH,250NITS,NTSC:45%,VIPS-NB(BQ) /  / COOL SILVER / Backlit KB / Win 11 Home / MS Office 2024 + MSO 365 / </v>
          </cell>
          <cell r="H434">
            <v>36792</v>
          </cell>
          <cell r="I434">
            <v>29777</v>
          </cell>
          <cell r="J434">
            <v>35392</v>
          </cell>
          <cell r="K434">
            <v>28644</v>
          </cell>
          <cell r="L434">
            <v>1400</v>
          </cell>
          <cell r="M434">
            <v>1133</v>
          </cell>
          <cell r="N434" t="str">
            <v>01 - 29 MARCH</v>
          </cell>
          <cell r="O434" t="str">
            <v>(NB20260315)_Mar_Sellout Support_RF _Asus_Select</v>
          </cell>
        </row>
        <row r="435">
          <cell r="C435" t="str">
            <v>RF X1504VAP-NJ542WS</v>
          </cell>
          <cell r="E435" t="str">
            <v>X1504VAP-NJ542WS</v>
          </cell>
          <cell r="F435" t="str">
            <v>90NB13Y1-M004P0</v>
          </cell>
          <cell r="G435" t="str">
            <v xml:space="preserve">INTEL CORE 5-120U / 16GB DDR4  / 512GB PCIe® 4.0 SSD / 15.6-inch / FHD (1920 x 1080) 16:9  /  / Quiet Blue / Backlit KB / Win 11 Home / MS Office / </v>
          </cell>
          <cell r="H435">
            <v>36393</v>
          </cell>
          <cell r="I435">
            <v>29454</v>
          </cell>
          <cell r="J435">
            <v>35393</v>
          </cell>
          <cell r="K435">
            <v>28644</v>
          </cell>
          <cell r="L435">
            <v>1000</v>
          </cell>
          <cell r="M435">
            <v>810</v>
          </cell>
          <cell r="N435" t="str">
            <v>01 - 29 MARCH</v>
          </cell>
          <cell r="O435" t="str">
            <v>(NB20260315)_Mar_Sellout Support_RF _Asus_Select</v>
          </cell>
        </row>
        <row r="436">
          <cell r="C436" t="str">
            <v>RF X1504VAP-NJ541WS</v>
          </cell>
          <cell r="E436" t="str">
            <v>X1504VAP-NJ541WS</v>
          </cell>
          <cell r="F436" t="str">
            <v>90NB13Y2-M004N0</v>
          </cell>
          <cell r="G436" t="str">
            <v xml:space="preserve">INTEL CORE 5-120U / 16GB DDR4  / 512GB PCIe® 4.0 SSD / 15.6-inch / FHD (1920 x 1080) 16:9  /  / COOL SILVER / Backlit KB / Win 11 Home / MS Office / </v>
          </cell>
          <cell r="H436">
            <v>36393</v>
          </cell>
          <cell r="I436">
            <v>29454</v>
          </cell>
          <cell r="J436">
            <v>35393</v>
          </cell>
          <cell r="K436">
            <v>28644</v>
          </cell>
          <cell r="L436">
            <v>1000</v>
          </cell>
          <cell r="M436">
            <v>810</v>
          </cell>
          <cell r="N436" t="str">
            <v>01 - 29 MARCH</v>
          </cell>
          <cell r="O436" t="str">
            <v>(NB20260315)_Mar_Sellout Support_RF _Asus_Select</v>
          </cell>
        </row>
        <row r="437">
          <cell r="C437" t="str">
            <v>RF M1605YA-MB542WS</v>
          </cell>
          <cell r="E437" t="str">
            <v>M1605YA-MB542WS</v>
          </cell>
          <cell r="F437" t="str">
            <v>90NB10R2-M00AX0</v>
          </cell>
          <cell r="G437" t="str">
            <v xml:space="preserve">AMD Ryzen™ 5 7530U /  /  / 16GB (8*2) DDR4 / 512GB PCIe® 3.0 SSD / 16.0-inch / WUXGA (1920 x 1200) 16:10  /  / Cool Silver /  /  / FingerPrint / Backlit KB / Win 11 Home / MS Office / </v>
          </cell>
          <cell r="H437">
            <v>38392</v>
          </cell>
          <cell r="I437">
            <v>31071</v>
          </cell>
          <cell r="J437">
            <v>35592</v>
          </cell>
          <cell r="K437">
            <v>28805</v>
          </cell>
          <cell r="L437">
            <v>2800</v>
          </cell>
          <cell r="M437">
            <v>2266</v>
          </cell>
          <cell r="N437" t="str">
            <v>01 - 29 MARCH</v>
          </cell>
          <cell r="O437" t="str">
            <v>(NB20260315)_Mar_Sellout Support_RF _Asus_Select</v>
          </cell>
        </row>
        <row r="438">
          <cell r="C438" t="str">
            <v>RF X1500EA-EJ701WS</v>
          </cell>
          <cell r="E438" t="str">
            <v>X1500EA-EJ701WS</v>
          </cell>
          <cell r="F438" t="str">
            <v>90NB0TY5-M02XB0</v>
          </cell>
          <cell r="G438" t="str">
            <v xml:space="preserve">Intel® Core™ i7-1165G7 /  /  / 8GB DDR4  + 8GB DDR4  / 512GB PCIe® 3.0 SSD / 15.6-inch / FHD (1920 x 1080) 16:9  /  / Indie Black /  Intel Iris Xᵉ Graphics  /  / FingerPrint /  / Win 11 Home / MS Office / </v>
          </cell>
          <cell r="H438">
            <v>37093</v>
          </cell>
          <cell r="I438">
            <v>30020</v>
          </cell>
          <cell r="J438">
            <v>35693</v>
          </cell>
          <cell r="K438">
            <v>28887</v>
          </cell>
          <cell r="L438">
            <v>1400</v>
          </cell>
          <cell r="M438">
            <v>1133</v>
          </cell>
          <cell r="N438" t="str">
            <v>01 - 29 MARCH</v>
          </cell>
          <cell r="O438" t="str">
            <v>(NB20260315)_Mar_Sellout Support_RF _Asus_Select</v>
          </cell>
        </row>
        <row r="439">
          <cell r="C439" t="str">
            <v>RF X1500EA-EJ702WS</v>
          </cell>
          <cell r="E439" t="str">
            <v>X1500EA-EJ702WS</v>
          </cell>
          <cell r="F439" t="str">
            <v>90NB0TY6-M02X90</v>
          </cell>
          <cell r="G439" t="str">
            <v xml:space="preserve">Intel® Core™ i7-1165G7 /  /  / 8GB DDR4  + 8GB DDR4  / 512GB PCIe® 3.0 SSD / 15.6-inch / FHD (1920 x 1080) 16:9  /  / Transparent Silver /  Intel Iris Xᵉ Graphics  /  / FingerPrint /  / Win 11 Home / MS Office / </v>
          </cell>
          <cell r="H439">
            <v>37093</v>
          </cell>
          <cell r="I439">
            <v>30020</v>
          </cell>
          <cell r="J439">
            <v>35693</v>
          </cell>
          <cell r="K439">
            <v>28887</v>
          </cell>
          <cell r="L439">
            <v>1400</v>
          </cell>
          <cell r="M439">
            <v>1133</v>
          </cell>
          <cell r="N439" t="str">
            <v>01 - 29 MARCH</v>
          </cell>
          <cell r="O439" t="str">
            <v>(NB20260315)_Mar_Sellout Support_RF _Asus_Select</v>
          </cell>
        </row>
        <row r="440">
          <cell r="C440" t="str">
            <v>RF X1502ZA-EJ2125WS</v>
          </cell>
          <cell r="E440" t="str">
            <v>X1502ZA-EJ2125WS</v>
          </cell>
          <cell r="F440" t="str">
            <v>90NB0VX1-M02Z60</v>
          </cell>
          <cell r="G440" t="str">
            <v xml:space="preserve">Intel®Core™ i5-1235U / 16GB (8*2) DDR4 / 512GB PCIe® 4.0 SSD / 15.6-inch / FHD (1920 x 1080) 16:9  /  / Quiet Blue / Backlit KB / Win 11 Home / MS Office / </v>
          </cell>
          <cell r="H440">
            <v>39992</v>
          </cell>
          <cell r="I440">
            <v>32366</v>
          </cell>
          <cell r="J440">
            <v>35792</v>
          </cell>
          <cell r="K440">
            <v>28967</v>
          </cell>
          <cell r="L440">
            <v>4200</v>
          </cell>
          <cell r="M440">
            <v>3399</v>
          </cell>
          <cell r="N440" t="str">
            <v>01 - 29 MARCH</v>
          </cell>
          <cell r="O440" t="str">
            <v>(NB20260315)_Mar_Sellout Support_RF _Asus_Select</v>
          </cell>
        </row>
        <row r="441">
          <cell r="C441" t="str">
            <v>RF X1504ZA-NJ540WS</v>
          </cell>
          <cell r="E441" t="str">
            <v>X1504ZA-NJ540WS</v>
          </cell>
          <cell r="F441" t="str">
            <v>90NB14H2-M00010</v>
          </cell>
          <cell r="G441" t="str">
            <v xml:space="preserve">Intel®Core™ i5-1235U / 16GB (8*2) DDR4 / 512GB PCIe® 4.0 SSD / 15.6-inch / FHD (1920 x 1080) 16:9  /  / Cool Silver / Backlit KB / Win 11 Home / MS Office / </v>
          </cell>
          <cell r="H441">
            <v>40792</v>
          </cell>
          <cell r="I441">
            <v>33014</v>
          </cell>
          <cell r="J441">
            <v>35892</v>
          </cell>
          <cell r="K441">
            <v>29048</v>
          </cell>
          <cell r="L441">
            <v>4900</v>
          </cell>
          <cell r="M441">
            <v>3966</v>
          </cell>
          <cell r="N441" t="str">
            <v>01 - 29 MARCH</v>
          </cell>
          <cell r="O441" t="str">
            <v>(NB20260315)_Mar_Sellout Support_RF _Asus_Select</v>
          </cell>
        </row>
        <row r="442">
          <cell r="C442" t="str">
            <v>RF X1504ZA-NJ541WS</v>
          </cell>
          <cell r="E442" t="str">
            <v>X1504ZA-NJ541WS</v>
          </cell>
          <cell r="F442" t="str">
            <v>90NB1021-M00H10</v>
          </cell>
          <cell r="G442" t="str">
            <v xml:space="preserve">Intel®Core™ i5-1235U /  /  / 16GB (8*2) DDR4 / 512GB PCIe® 4.0 SSD / 15.6-inch / FHD (1920 x 1080) 16:9  /  / Quiet Blue / Backlit KB / Win 11 Home / MS Office / </v>
          </cell>
          <cell r="H442">
            <v>40792</v>
          </cell>
          <cell r="I442">
            <v>33014</v>
          </cell>
          <cell r="J442">
            <v>35892</v>
          </cell>
          <cell r="K442">
            <v>29048</v>
          </cell>
          <cell r="L442">
            <v>4900</v>
          </cell>
          <cell r="M442">
            <v>3966</v>
          </cell>
          <cell r="N442" t="str">
            <v>01 - 29 MARCH</v>
          </cell>
          <cell r="O442" t="str">
            <v>(NB20260315)_Mar_Sellout Support_RF _Asus_Select</v>
          </cell>
        </row>
        <row r="443">
          <cell r="C443" t="str">
            <v>RF X1504ZA-NJ542WS</v>
          </cell>
          <cell r="E443" t="str">
            <v>X1504ZA-NJ542WS</v>
          </cell>
          <cell r="F443" t="str">
            <v>90NB1022-M00H20</v>
          </cell>
          <cell r="G443" t="str">
            <v xml:space="preserve">Intel®Core™ i5-1235U /  /  / 16GB (8*2) DDR4 / 512GB PCIe® 4.0 SSD / 15.6-inch / FHD (1920 x 1080) 16:9  /  / COOL SILVER / Backlit KB / Win 11 Home / MS Office / </v>
          </cell>
          <cell r="H443">
            <v>40792</v>
          </cell>
          <cell r="I443">
            <v>33014</v>
          </cell>
          <cell r="J443">
            <v>35892</v>
          </cell>
          <cell r="K443">
            <v>29048</v>
          </cell>
          <cell r="L443">
            <v>4900</v>
          </cell>
          <cell r="M443">
            <v>3966</v>
          </cell>
          <cell r="N443" t="str">
            <v>01 - 29 MARCH</v>
          </cell>
          <cell r="O443" t="str">
            <v>(NB20260315)_Mar_Sellout Support_RF _Asus_Select</v>
          </cell>
        </row>
        <row r="444">
          <cell r="C444" t="str">
            <v>RF X1504ZA-NJ549WS</v>
          </cell>
          <cell r="E444" t="str">
            <v>X1504ZA-NJ549WS</v>
          </cell>
          <cell r="F444" t="str">
            <v>90NB14H1-M00050</v>
          </cell>
          <cell r="G444" t="str">
            <v xml:space="preserve">Intel®Core™ i5-1235U / 16GB (8*2) DDR4 / 512GB PCIe® 4.0 SSD / 15.6-inch / FHD (1920 x 1080) 16:9  /  / Quiet Blue /  /  / FingerPrint / Win 11 Home / MS Office / </v>
          </cell>
          <cell r="H444">
            <v>40792</v>
          </cell>
          <cell r="I444">
            <v>33014</v>
          </cell>
          <cell r="J444">
            <v>35892</v>
          </cell>
          <cell r="K444">
            <v>29048</v>
          </cell>
          <cell r="L444">
            <v>4900</v>
          </cell>
          <cell r="M444">
            <v>3966</v>
          </cell>
          <cell r="N444" t="str">
            <v>01 - 29 MARCH</v>
          </cell>
          <cell r="O444" t="str">
            <v>(NB20260315)_Mar_Sellout Support_RF _Asus_Select</v>
          </cell>
        </row>
        <row r="445">
          <cell r="C445" t="str">
            <v>RF K413EA-EB523TS</v>
          </cell>
          <cell r="E445" t="str">
            <v>K413EA-EB523TS</v>
          </cell>
          <cell r="F445" t="str">
            <v>90NB0RLB-M12590</v>
          </cell>
          <cell r="G445" t="str">
            <v>i5-1135G7//16GB/512G PCIe SSD/TRANSPARENT SILVER/14.0"FHD vIPS/1Y international warranty + McAfee/Office H&amp;S/Backlit KB/Finger Print</v>
          </cell>
          <cell r="H445">
            <v>39893</v>
          </cell>
          <cell r="I445">
            <v>32286</v>
          </cell>
          <cell r="J445">
            <v>35903</v>
          </cell>
          <cell r="K445">
            <v>29057</v>
          </cell>
          <cell r="L445">
            <v>3990</v>
          </cell>
          <cell r="M445">
            <v>3229</v>
          </cell>
          <cell r="N445" t="str">
            <v>01 - 29 MARCH</v>
          </cell>
          <cell r="O445" t="str">
            <v>(NB20260315)_Mar_Sellout Support_RF _Asus_Select</v>
          </cell>
        </row>
        <row r="446">
          <cell r="C446" t="str">
            <v>RF X1502ZA-EJ545WS</v>
          </cell>
          <cell r="E446" t="str">
            <v>X1502ZA-EJ545WS</v>
          </cell>
          <cell r="F446" t="str">
            <v>90NB0VX2-M02630</v>
          </cell>
          <cell r="G446" t="str">
            <v xml:space="preserve">Intel®Core™ i5-1235U /  /  / 16GB (8*2) DDR4 / 512GB PCIe® 3.0 SSD / 15.6-inch / FHD (1920 x 1080) 16:9  /  / Icelight Silver /  /  / FingerPrint /  / Win 11 Home / MS Office / </v>
          </cell>
          <cell r="H446">
            <v>41592</v>
          </cell>
          <cell r="I446">
            <v>33661</v>
          </cell>
          <cell r="J446">
            <v>35992</v>
          </cell>
          <cell r="K446">
            <v>29129</v>
          </cell>
          <cell r="L446">
            <v>5600</v>
          </cell>
          <cell r="M446">
            <v>4532</v>
          </cell>
          <cell r="N446" t="str">
            <v>01 - 29 MARCH</v>
          </cell>
          <cell r="O446" t="str">
            <v>(NB20260315)_Mar_Sellout Support_RF _Asus_Select</v>
          </cell>
        </row>
        <row r="447">
          <cell r="C447" t="str">
            <v>RF UM5401QA-KM541WS</v>
          </cell>
          <cell r="E447" t="str">
            <v>UM5401QA-KM541WS</v>
          </cell>
          <cell r="F447" t="str">
            <v>90NB0UR5-M00HY0</v>
          </cell>
          <cell r="G447" t="str">
            <v>AMD Ryzen™ 5 5600H /  /  / 16GB LPDDR4X  / 512GB PCIe® 3.0 SSD / 14.0-inch / 2.8K (2880 x 1800) OLED 16:10  / 90Hz refresh rate / Jade Black / NumberPad /  / FingerPrint / Backlit KB / Win 11 Home / MS Office / Sleeve</v>
          </cell>
          <cell r="H447">
            <v>38994</v>
          </cell>
          <cell r="I447">
            <v>31559</v>
          </cell>
          <cell r="J447">
            <v>36194</v>
          </cell>
          <cell r="K447">
            <v>29293</v>
          </cell>
          <cell r="L447">
            <v>2800</v>
          </cell>
          <cell r="M447">
            <v>2266</v>
          </cell>
          <cell r="N447" t="str">
            <v>01 - 29 MARCH</v>
          </cell>
          <cell r="O447" t="str">
            <v>(NB20260315)_Mar_Sellout Support_RF _Asus_Select</v>
          </cell>
        </row>
        <row r="448">
          <cell r="C448" t="str">
            <v>RF X415EA-EK701WS</v>
          </cell>
          <cell r="E448" t="str">
            <v>X415EA-EK701WS</v>
          </cell>
          <cell r="F448" t="str">
            <v>90NB0TT1-M01CC0</v>
          </cell>
          <cell r="G448" t="str">
            <v xml:space="preserve">Intel® Core™ i7-1165G7 /  /  / 8GB DDR4  + 8GB DDR4  / 512GB PCIe® 3.0 SSD / 14.0-inch / FHD (1920 x 1080) 16:9  /  / Transparent Silver /Intel Iris Xᵉ Graphics  /  / FingerPrint /  / Win 11 Home / MS Office / </v>
          </cell>
          <cell r="H448">
            <v>39893</v>
          </cell>
          <cell r="I448">
            <v>32286</v>
          </cell>
          <cell r="J448">
            <v>36393</v>
          </cell>
          <cell r="K448">
            <v>29454</v>
          </cell>
          <cell r="L448">
            <v>3500</v>
          </cell>
          <cell r="M448">
            <v>2832</v>
          </cell>
          <cell r="N448" t="str">
            <v>01 - 29 MARCH</v>
          </cell>
          <cell r="O448" t="str">
            <v>(NB20260315)_Mar_Sellout Support_RF _Asus_Select</v>
          </cell>
        </row>
        <row r="449">
          <cell r="C449" t="str">
            <v>RF TN3402QA-LZ551WS</v>
          </cell>
          <cell r="E449" t="str">
            <v>TN3402QA-LZ551WS</v>
          </cell>
          <cell r="F449" t="str">
            <v>90NB0WT2-M00BV0</v>
          </cell>
          <cell r="G449" t="str">
            <v>AMD Ryzen™ 5 5600H /  /  / 16GB (8*2) DDR4 / 1TB PCIe® 3.0 SSD / 14.0-inch / WUXGA (1920 x 1200) 16:10  /  / Cool Silver / NumberPad /  / FingerPrint / Backlit KB / Win 11 Home / MS Office / Stylus</v>
          </cell>
          <cell r="H449">
            <v>37194</v>
          </cell>
          <cell r="I449">
            <v>30102</v>
          </cell>
          <cell r="J449">
            <v>36494</v>
          </cell>
          <cell r="K449">
            <v>29535</v>
          </cell>
          <cell r="L449">
            <v>700</v>
          </cell>
          <cell r="M449">
            <v>567</v>
          </cell>
          <cell r="N449" t="str">
            <v>01 - 29 MARCH</v>
          </cell>
          <cell r="O449" t="str">
            <v>(NB20260315)_Mar_Sellout Support_RF _Asus_Select</v>
          </cell>
        </row>
        <row r="450">
          <cell r="C450" t="str">
            <v>RF UX433FAC-A6405TS</v>
          </cell>
          <cell r="E450" t="str">
            <v>UX433FAC-A6405TS</v>
          </cell>
          <cell r="F450" t="str">
            <v>90NB0MQ8-M08240</v>
          </cell>
          <cell r="G450" t="str">
            <v>i7-10510U//16G/1TB PCIe x2 SSD/ICICLE SILVER/14.0"FHD IPS/1Y international warranty/Office H&amp;S/NUMPAD/Zenbook Sleeve/USB to LAN</v>
          </cell>
          <cell r="H450">
            <v>40794</v>
          </cell>
          <cell r="I450">
            <v>33015</v>
          </cell>
          <cell r="J450">
            <v>36594</v>
          </cell>
          <cell r="K450">
            <v>29616</v>
          </cell>
          <cell r="L450">
            <v>4200</v>
          </cell>
          <cell r="M450">
            <v>3399</v>
          </cell>
          <cell r="N450" t="str">
            <v>01 - 29 MARCH</v>
          </cell>
          <cell r="O450" t="str">
            <v>(NB20260315)_Mar_Sellout Support_RF _Asus_Select</v>
          </cell>
        </row>
        <row r="451">
          <cell r="C451" t="str">
            <v>RF M1605YA-MB541WS</v>
          </cell>
          <cell r="E451" t="str">
            <v>M1605YA-MB541WS</v>
          </cell>
          <cell r="F451" t="str">
            <v>90NB10R1-M00AT0</v>
          </cell>
          <cell r="G451" t="str">
            <v xml:space="preserve">AMD Ryzen™ 5 7530U /  /  / 16GB (8*2) DDR4 / 512GB PCIe® 3.0 SSD / 16.0-inch / WUXGA (1920 x 1200) 16:10  /  / Tough Black /  /  / FingerPrint / Backlit KB / Win 11 Home / MS Office / </v>
          </cell>
          <cell r="H451">
            <v>38392</v>
          </cell>
          <cell r="I451">
            <v>31071</v>
          </cell>
          <cell r="J451">
            <v>36992</v>
          </cell>
          <cell r="K451">
            <v>29938</v>
          </cell>
          <cell r="L451">
            <v>1400</v>
          </cell>
          <cell r="M451">
            <v>1133</v>
          </cell>
          <cell r="N451" t="str">
            <v>01 - 29 MARCH</v>
          </cell>
          <cell r="O451" t="str">
            <v>(NB20260315)_Mar_Sellout Support_RF _Asus_Select</v>
          </cell>
        </row>
        <row r="452">
          <cell r="C452" t="str">
            <v>RF X1502ZA-EJ523WS</v>
          </cell>
          <cell r="E452" t="str">
            <v>X1502ZA-EJ523WS</v>
          </cell>
          <cell r="F452" t="str">
            <v>90NB0VX1-M01T80</v>
          </cell>
          <cell r="G452" t="str">
            <v xml:space="preserve">Intel® Core™ i5-12500H /  /  / 8GB (4*2) DDR4 / 512GB PCIe® 3.0 SSD / 15.6-inch / FHD (1920 x 1080) 16:9  /  / Quiet Blue / Backlit KB / Win 11 Home / MS Office / </v>
          </cell>
          <cell r="H452">
            <v>39192</v>
          </cell>
          <cell r="I452">
            <v>31719</v>
          </cell>
          <cell r="J452">
            <v>37092</v>
          </cell>
          <cell r="K452">
            <v>30019</v>
          </cell>
          <cell r="L452">
            <v>2100</v>
          </cell>
          <cell r="M452">
            <v>1700</v>
          </cell>
          <cell r="N452" t="str">
            <v>01 - 29 MARCH</v>
          </cell>
          <cell r="O452" t="str">
            <v>(NB20260315)_Mar_Sellout Support_RF _Asus_Select</v>
          </cell>
        </row>
        <row r="453">
          <cell r="C453" t="str">
            <v>RF X1502ZA-EJ524WS</v>
          </cell>
          <cell r="E453" t="str">
            <v>X1502ZA-EJ524WS</v>
          </cell>
          <cell r="F453" t="str">
            <v>90NB0VX2-M01T90</v>
          </cell>
          <cell r="G453" t="str">
            <v xml:space="preserve">Intel® Core™ i5-12500H /  /  / 8GB (4*2) DDR4 / 512GB PCIe® 3.0 SSD / 15.6-inch / FHD (1920 x 1080) 16:9  /  / Icelight Silver / Backlit KB / Win 11 Home / MS Office / </v>
          </cell>
          <cell r="H453">
            <v>39192</v>
          </cell>
          <cell r="I453">
            <v>31719</v>
          </cell>
          <cell r="J453">
            <v>37092</v>
          </cell>
          <cell r="K453">
            <v>30019</v>
          </cell>
          <cell r="L453">
            <v>2100</v>
          </cell>
          <cell r="M453">
            <v>1700</v>
          </cell>
          <cell r="N453" t="str">
            <v>01 - 29 MARCH</v>
          </cell>
          <cell r="O453" t="str">
            <v>(NB20260315)_Mar_Sellout Support_RF _Asus_Select</v>
          </cell>
        </row>
        <row r="454">
          <cell r="C454" t="str">
            <v>RF UM5302TA-LX501WS</v>
          </cell>
          <cell r="E454" t="str">
            <v>UM5302TA-LX501WS</v>
          </cell>
          <cell r="F454" t="str">
            <v>90NB0WA1-M003E0</v>
          </cell>
          <cell r="G454" t="str">
            <v>Ryzen™ 5 6600U / AMD Radeon™ Graphics / 16GB LPDDR5 / 512GB PCIe® 4.0 PeRF ormance SSD / 13.3-inch / 2.8K (2880 x 1800) OLED 16:10 aspect ratio / Ponder Blue / NumberPad  / FingerPrint / Backlit Chiclet Keyboard / 1.10 kg / Office Home and Student 2021 included / Windows 11 Home</v>
          </cell>
          <cell r="H454">
            <v>41994</v>
          </cell>
          <cell r="I454">
            <v>33987</v>
          </cell>
          <cell r="J454">
            <v>37094</v>
          </cell>
          <cell r="K454">
            <v>30021</v>
          </cell>
          <cell r="L454">
            <v>4900</v>
          </cell>
          <cell r="M454">
            <v>3966</v>
          </cell>
          <cell r="N454" t="str">
            <v>01 - 29 MARCH</v>
          </cell>
          <cell r="O454" t="str">
            <v>(NB20260315)_Mar_Sellout Support_RF _Asus_Select</v>
          </cell>
        </row>
        <row r="455">
          <cell r="C455" t="str">
            <v>RF X512FL-EJ199T</v>
          </cell>
          <cell r="E455" t="str">
            <v>X512FL-EJ199T</v>
          </cell>
          <cell r="F455" t="str">
            <v>90NB0M92-M02560</v>
          </cell>
          <cell r="G455" t="str">
            <v>i7-8565U/MX250/8G/1T+256G PCIe SSD/TRANSPARENT SILVER/15.6"FHD/1Y</v>
          </cell>
          <cell r="H455">
            <v>41394</v>
          </cell>
          <cell r="I455">
            <v>33501</v>
          </cell>
          <cell r="J455">
            <v>37194</v>
          </cell>
          <cell r="K455">
            <v>30102</v>
          </cell>
          <cell r="L455">
            <v>4200</v>
          </cell>
          <cell r="M455">
            <v>3399</v>
          </cell>
          <cell r="N455" t="str">
            <v>01 - 29 MARCH</v>
          </cell>
          <cell r="O455" t="str">
            <v>(NB20260315)_Mar_Sellout Support_RF _Asus_Select</v>
          </cell>
        </row>
        <row r="456">
          <cell r="C456" t="str">
            <v>RF X1504VAP-NJ2861WS</v>
          </cell>
          <cell r="E456" t="str">
            <v>X1504VAP-NJ2861WS</v>
          </cell>
          <cell r="F456" t="str">
            <v>90NB13Y2-M00TS0</v>
          </cell>
          <cell r="G456" t="str">
            <v xml:space="preserve">INTEL CORE 5 120U / 8GB DDR4  / 512GB PCIe® 4.0 SSD / 15.6-inch / 15.6" FHD ANTI-GLARE NON-TOUCH,250NITS,NTSC:45%,TN-NB(NJ) /  / COOL SILVER /  /  / FingerPrint / Backlit KB / Win 11 Home / OFFICE HOME 2024 (IN)+M365 BASIC / </v>
          </cell>
          <cell r="H456">
            <v>40792</v>
          </cell>
          <cell r="I456">
            <v>33014</v>
          </cell>
          <cell r="J456">
            <v>37222</v>
          </cell>
          <cell r="K456">
            <v>30125</v>
          </cell>
          <cell r="L456">
            <v>3570</v>
          </cell>
          <cell r="M456">
            <v>2889</v>
          </cell>
          <cell r="N456" t="str">
            <v>01 - 29 MARCH</v>
          </cell>
          <cell r="O456" t="str">
            <v>(NB20260315)_Mar_Sellout Support_RF _Asus_Select</v>
          </cell>
        </row>
        <row r="457">
          <cell r="C457" t="str">
            <v>RF X1504VAP-NJ2863WS</v>
          </cell>
          <cell r="E457" t="str">
            <v>X1504VAP-NJ2863WS</v>
          </cell>
          <cell r="F457" t="str">
            <v>90NB13Y1-M00TT0</v>
          </cell>
          <cell r="G457" t="str">
            <v xml:space="preserve">INTEL CORE 5 120U / 8GB DDR4  / 512GB PCIe® 4.0 SSD / 15.6-inch / 15.6" FHD ANTI-GLARE NON-TOUCH,250NITS,NTSC:45%,TN-NB(NJ) /  / QUIET BLUE /  /  / FingerPrint / Backlit KB / Win 11 Home / OFFICE HOME 2024 (IN)+M365 BASIC / </v>
          </cell>
          <cell r="H457">
            <v>40792</v>
          </cell>
          <cell r="I457">
            <v>33014</v>
          </cell>
          <cell r="J457">
            <v>37222</v>
          </cell>
          <cell r="K457">
            <v>30125</v>
          </cell>
          <cell r="L457">
            <v>3570</v>
          </cell>
          <cell r="M457">
            <v>2889</v>
          </cell>
          <cell r="N457" t="str">
            <v>01 - 29 MARCH</v>
          </cell>
          <cell r="O457" t="str">
            <v>(NB20260315)_Mar_Sellout Support_RF _Asus_Select</v>
          </cell>
        </row>
        <row r="458">
          <cell r="C458" t="str">
            <v>RF M1607KA-MB212WS</v>
          </cell>
          <cell r="E458" t="str">
            <v>M1607KA-MB212WS</v>
          </cell>
          <cell r="F458" t="str">
            <v>90NB15F2-M00E40</v>
          </cell>
          <cell r="G458" t="str">
            <v xml:space="preserve">AMD RYZEN AI 5 330 / DDR5 16G[ON BD.] / 512G PCIE G4 / 16.0-inch / 16" WUXGA ANTI-GLARE NON-TOUCH,300NITS,NTSC:45%,VIPS-NB(MB) /  / Cool Silver / Backlit KB / Win 11 Home / MS Office 2024 + MSO 365 / </v>
          </cell>
          <cell r="H458">
            <v>44242.5</v>
          </cell>
          <cell r="I458">
            <v>35806</v>
          </cell>
          <cell r="J458">
            <v>37242.5</v>
          </cell>
          <cell r="K458">
            <v>30141</v>
          </cell>
          <cell r="L458">
            <v>7000</v>
          </cell>
          <cell r="M458">
            <v>5665</v>
          </cell>
          <cell r="N458" t="str">
            <v>01 - 29 MARCH</v>
          </cell>
          <cell r="O458" t="str">
            <v>(NB20260315)_Mar_Sellout Support_RF _Asus_Select</v>
          </cell>
        </row>
        <row r="459">
          <cell r="C459" t="str">
            <v>RF E1504FAB-LK549WS</v>
          </cell>
          <cell r="E459" t="str">
            <v>E1504FAB-LK549WS</v>
          </cell>
          <cell r="F459" t="str">
            <v>90NB14I2-M00020</v>
          </cell>
          <cell r="G459" t="str">
            <v xml:space="preserve">AMD Ryzen™ 5 7520U / 16GB LPDDR5 / 512GB PCIe® 3.0 SSD / 15.6-inch / FHD (1920 x 1080) OLED 16:9  /  / Mixed Black / Backlit KB / Win 11 Home / MS Office / </v>
          </cell>
          <cell r="H459">
            <v>40792</v>
          </cell>
          <cell r="I459">
            <v>33014</v>
          </cell>
          <cell r="J459">
            <v>37292</v>
          </cell>
          <cell r="K459">
            <v>30181</v>
          </cell>
          <cell r="L459">
            <v>3500</v>
          </cell>
          <cell r="M459">
            <v>2833</v>
          </cell>
          <cell r="N459" t="str">
            <v>01 - 29 MARCH</v>
          </cell>
          <cell r="O459" t="str">
            <v>(NB20260315)_Mar_Sellout Support_RF _Asus_Select</v>
          </cell>
        </row>
        <row r="460">
          <cell r="C460" t="str">
            <v>RF E1504FA-LK541WS</v>
          </cell>
          <cell r="E460" t="str">
            <v>E1504FA-LK541WS</v>
          </cell>
          <cell r="F460" t="str">
            <v>90NB0ZR1-M00J50</v>
          </cell>
          <cell r="G460" t="str">
            <v xml:space="preserve">AMD Ryzen™ 5 7520U /  /  / 16GB LPDDR5 / 512GB PCIe® 3.0 SSD / 15.6-inch / FHD (1920 x 1080) OLED 16:9  /  / Cool Silver / Backlit KB / Win 11 Home / MS Office / </v>
          </cell>
          <cell r="H460">
            <v>40792</v>
          </cell>
          <cell r="I460">
            <v>33014</v>
          </cell>
          <cell r="J460">
            <v>37292</v>
          </cell>
          <cell r="K460">
            <v>30181</v>
          </cell>
          <cell r="L460">
            <v>3500</v>
          </cell>
          <cell r="M460">
            <v>2833</v>
          </cell>
          <cell r="N460" t="str">
            <v>01 - 29 MARCH</v>
          </cell>
          <cell r="O460" t="str">
            <v>(NB20260315)_Mar_Sellout Support_RF _Asus_Select</v>
          </cell>
        </row>
        <row r="461">
          <cell r="C461" t="str">
            <v>RF E1504FA-LK542WS</v>
          </cell>
          <cell r="E461" t="str">
            <v>E1504FA-LK542WS</v>
          </cell>
          <cell r="F461" t="str">
            <v>90NB0ZR2-M00J60</v>
          </cell>
          <cell r="G461" t="str">
            <v xml:space="preserve">AMD Ryzen™ 5 7520U /  /  / 16GB LPDDR5 / 512GB PCIe® 3.0 SSD / 15.6-inch / FHD (1920 x 1080) OLED 16:9  /  / Mixed Black / Backlit KB / Win 11 Home / MS Office / </v>
          </cell>
          <cell r="H461">
            <v>40792</v>
          </cell>
          <cell r="I461">
            <v>33014</v>
          </cell>
          <cell r="J461">
            <v>37292</v>
          </cell>
          <cell r="K461">
            <v>30181</v>
          </cell>
          <cell r="L461">
            <v>3500</v>
          </cell>
          <cell r="M461">
            <v>2833</v>
          </cell>
          <cell r="N461" t="str">
            <v>01 - 29 MARCH</v>
          </cell>
          <cell r="O461" t="str">
            <v>(NB20260315)_Mar_Sellout Support_RF _Asus_Select</v>
          </cell>
        </row>
        <row r="462">
          <cell r="C462" t="str">
            <v>RF E1504FA-LK543WS</v>
          </cell>
          <cell r="E462" t="str">
            <v>E1504FA-LK543WS</v>
          </cell>
          <cell r="F462" t="str">
            <v>90NB0ZR3-M00J70</v>
          </cell>
          <cell r="G462" t="str">
            <v xml:space="preserve">AMD Ryzen™ 5 7520U /  /  / 16GB LPDDR5 / 512GB PCIe® 3.0 SSD / 15.6-inch / FHD (1920 x 1080) OLED 16:9  /  / Grey Green / Backlit KB / Win 11 Home / MS Office / </v>
          </cell>
          <cell r="H462">
            <v>40792</v>
          </cell>
          <cell r="I462">
            <v>33014</v>
          </cell>
          <cell r="J462">
            <v>37292</v>
          </cell>
          <cell r="K462">
            <v>30181</v>
          </cell>
          <cell r="L462">
            <v>3500</v>
          </cell>
          <cell r="M462">
            <v>2833</v>
          </cell>
          <cell r="N462" t="str">
            <v>01 - 29 MARCH</v>
          </cell>
          <cell r="O462" t="str">
            <v>(NB20260315)_Mar_Sellout Support_RF _Asus_Select</v>
          </cell>
        </row>
        <row r="463">
          <cell r="C463" t="str">
            <v>RF E1504FA-LK545WS</v>
          </cell>
          <cell r="E463" t="str">
            <v>E1504FA-LK545WS</v>
          </cell>
          <cell r="F463" t="str">
            <v>90NB0ZR2-M00WT0</v>
          </cell>
          <cell r="G463" t="str">
            <v xml:space="preserve">AMD Ryzen™ 5 7520U /  /  / 16GB LPDDR5 / 512GB PCIe® 3.0 SSD / 15.6-inch / FHD (1920 x 1080) OLED 16:9  /  / Mixed Black / Backlit KB / Win 11 Home / MS Office / </v>
          </cell>
          <cell r="H463">
            <v>40792</v>
          </cell>
          <cell r="I463">
            <v>33014</v>
          </cell>
          <cell r="J463">
            <v>37292</v>
          </cell>
          <cell r="K463">
            <v>30181</v>
          </cell>
          <cell r="L463">
            <v>3500</v>
          </cell>
          <cell r="M463">
            <v>2833</v>
          </cell>
          <cell r="N463" t="str">
            <v>01 - 29 MARCH</v>
          </cell>
          <cell r="O463" t="str">
            <v>(NB20260315)_Mar_Sellout Support_RF _Asus_Select</v>
          </cell>
        </row>
        <row r="464">
          <cell r="C464" t="str">
            <v>RF M3607KA-SH066WS</v>
          </cell>
          <cell r="E464" t="str">
            <v>M3607KA-SH066WS</v>
          </cell>
          <cell r="F464" t="str">
            <v>90NB16T1-M003Y0</v>
          </cell>
          <cell r="G464" t="str">
            <v xml:space="preserve">AMD RYZEN AI 5 330 / DDR5 16G[ON BD.] / 512G PCIE G4 / 16.0-inch / 16" OLED WUXGA BEND GLARE NON-TOUCH,300NITS,DCI-P3:95%-NB(SH) /  / 2G-MATTE GRAY / Backlit KB / Win 11 Home / MS Office 2024 + MSO 365 / </v>
          </cell>
          <cell r="H464">
            <v>44242.5</v>
          </cell>
          <cell r="I464">
            <v>35806</v>
          </cell>
          <cell r="J464">
            <v>37942.5</v>
          </cell>
          <cell r="K464">
            <v>30708</v>
          </cell>
          <cell r="L464">
            <v>6300</v>
          </cell>
          <cell r="M464">
            <v>5098</v>
          </cell>
          <cell r="N464" t="str">
            <v>01 - 29 MARCH</v>
          </cell>
          <cell r="O464" t="str">
            <v>(NB20260315)_Mar_Sellout Support_RF _Asus_Select</v>
          </cell>
        </row>
        <row r="465">
          <cell r="C465" t="str">
            <v>RF M3607KA-SH115WS</v>
          </cell>
          <cell r="E465" t="str">
            <v>M3607KA-SH115WS</v>
          </cell>
          <cell r="F465" t="str">
            <v>90NB16T2-M007Z0</v>
          </cell>
          <cell r="G465" t="str">
            <v xml:space="preserve">AMD RYZEN AI 5 330 / DDR5 16G[ON BD.] / 512G PCIE G4 / 16.0-inch / 16" OLED WUXGA BEND GLARE NON-TOUCH,300NITS,DCI-P3:95%-NB(SH) /  / 2S-COOL SILVER / Backlit KB / Win 11 Home / MS Office 2024 + MSO 365 / </v>
          </cell>
          <cell r="H465">
            <v>44242.5</v>
          </cell>
          <cell r="I465">
            <v>35806</v>
          </cell>
          <cell r="J465">
            <v>37942.5</v>
          </cell>
          <cell r="K465">
            <v>30708</v>
          </cell>
          <cell r="L465">
            <v>6300</v>
          </cell>
          <cell r="M465">
            <v>5098</v>
          </cell>
          <cell r="N465" t="str">
            <v>01 - 29 MARCH</v>
          </cell>
          <cell r="O465" t="str">
            <v>(NB20260315)_Mar_Sellout Support_RF _Asus_Select</v>
          </cell>
        </row>
        <row r="466">
          <cell r="C466" t="str">
            <v>RF X1404VA-NK541WS</v>
          </cell>
          <cell r="E466" t="str">
            <v>X1404VA-NK541WS</v>
          </cell>
          <cell r="F466" t="str">
            <v>90NB10I1-M001W0</v>
          </cell>
          <cell r="G466" t="str">
            <v xml:space="preserve">Intel®Core™ i5-1335U /  /  / 16GB (8*2) DDR4 / 512GB PCIe® 4.0 SSD / 14.0-inch/FHD (1920 x 1080) 16:9  /  / Quiet Blue /  /  / FingerPrint /  / Win 11 Home / MS Office / </v>
          </cell>
          <cell r="H466">
            <v>41592</v>
          </cell>
          <cell r="I466">
            <v>33661</v>
          </cell>
          <cell r="J466">
            <v>38092</v>
          </cell>
          <cell r="K466">
            <v>30829</v>
          </cell>
          <cell r="L466">
            <v>3500</v>
          </cell>
          <cell r="M466">
            <v>2832</v>
          </cell>
          <cell r="N466" t="str">
            <v>01 - 29 MARCH</v>
          </cell>
          <cell r="O466" t="str">
            <v>(NB20260315)_Mar_Sellout Support_RF _Asus_Select</v>
          </cell>
        </row>
        <row r="467">
          <cell r="C467" t="str">
            <v>RF X1404VA-NK542WS</v>
          </cell>
          <cell r="E467" t="str">
            <v>X1404VA-NK542WS</v>
          </cell>
          <cell r="F467" t="str">
            <v>90NB10I2-M001X0</v>
          </cell>
          <cell r="G467" t="str">
            <v xml:space="preserve">Intel®Core™ i5-1335U /  /  / 16GB (8*2) DDR4 / 512GB PCIe® 4.0 SSD / 14.0-inch/FHD (1920 x 1080) 16:9  /  / COOL SILVER /  /  / FingerPrint /  / Win 11 Home / MS Office / </v>
          </cell>
          <cell r="H467">
            <v>41592</v>
          </cell>
          <cell r="I467">
            <v>33661</v>
          </cell>
          <cell r="J467">
            <v>38092</v>
          </cell>
          <cell r="K467">
            <v>30829</v>
          </cell>
          <cell r="L467">
            <v>3500</v>
          </cell>
          <cell r="M467">
            <v>2832</v>
          </cell>
          <cell r="N467" t="str">
            <v>01 - 29 MARCH</v>
          </cell>
          <cell r="O467" t="str">
            <v>(NB20260315)_Mar_Sellout Support_RF _Asus_Select</v>
          </cell>
        </row>
        <row r="468">
          <cell r="C468" t="str">
            <v>RF X1404VA-NK1186WS</v>
          </cell>
          <cell r="E468" t="str">
            <v>X1404VA-NK1186WS</v>
          </cell>
          <cell r="F468" t="str">
            <v>90NB10I1-M01C10</v>
          </cell>
          <cell r="G468" t="str">
            <v xml:space="preserve">Intel® Core™ i5-1335U / 16GB (8*2) DDR4 / 512GB PCIe® 4.0 SSD / 14.0-inch / FHD (1920 x 1080) 16:9  /  / Quiet Blue / Backlit KB / Win 11 Home / OFFICE HOME 2024 (IN)+M365 BASIC / </v>
          </cell>
          <cell r="H468">
            <v>42392</v>
          </cell>
          <cell r="I468">
            <v>34309</v>
          </cell>
          <cell r="J468">
            <v>38192</v>
          </cell>
          <cell r="K468">
            <v>30910</v>
          </cell>
          <cell r="L468">
            <v>4200</v>
          </cell>
          <cell r="M468">
            <v>3399</v>
          </cell>
          <cell r="N468" t="str">
            <v>01 - 29 MARCH</v>
          </cell>
          <cell r="O468" t="str">
            <v>(NB20260315)_Mar_Sellout Support_RF _Asus_Select</v>
          </cell>
        </row>
        <row r="469">
          <cell r="C469" t="str">
            <v>RF X1404VA-NK790WS</v>
          </cell>
          <cell r="E469" t="str">
            <v>X1404VA-NK790WS</v>
          </cell>
          <cell r="F469" t="str">
            <v>90NB10I1-M018N0</v>
          </cell>
          <cell r="G469" t="str">
            <v xml:space="preserve">Intel® Core™ i5-1334U  / 16GB DDR4  / 512GB PCIe® 4.0 SSD /14.0-inch/FHD (1920 x 1080) 16:9 /  / Quiet Blue / Backlit KB / Win 11 Home / Office Home 2024 &amp; M365 Basic 1 Year / </v>
          </cell>
          <cell r="H469">
            <v>42392</v>
          </cell>
          <cell r="I469">
            <v>34309</v>
          </cell>
          <cell r="J469">
            <v>38192</v>
          </cell>
          <cell r="K469">
            <v>30910</v>
          </cell>
          <cell r="L469">
            <v>4200</v>
          </cell>
          <cell r="M469">
            <v>3399</v>
          </cell>
          <cell r="N469" t="str">
            <v>01 - 29 MARCH</v>
          </cell>
          <cell r="O469" t="str">
            <v>(NB20260315)_Mar_Sellout Support_RF _Asus_Select</v>
          </cell>
        </row>
        <row r="470">
          <cell r="C470" t="str">
            <v>RF X1504VA-NJ2217WS</v>
          </cell>
          <cell r="E470" t="str">
            <v>X1504VA-NJ2217WS</v>
          </cell>
          <cell r="F470" t="str">
            <v>90NB10J1-M02SM0</v>
          </cell>
          <cell r="G470" t="str">
            <v xml:space="preserve">Intel® Core™ i5-1334U  / 16GB (8*2) DDR4 / 512GB PCIe® 4.0 SSD / 15.6-inch / FHD (1920 x 1080) 16:9  /  / Quiet Blue / Backlit KB / Win 11 Home / Office Home 2024 &amp; M365 Basic 1 Year / </v>
          </cell>
          <cell r="H470">
            <v>42392</v>
          </cell>
          <cell r="I470">
            <v>34309</v>
          </cell>
          <cell r="J470">
            <v>38192</v>
          </cell>
          <cell r="K470">
            <v>30910</v>
          </cell>
          <cell r="L470">
            <v>4200</v>
          </cell>
          <cell r="M470">
            <v>3399</v>
          </cell>
          <cell r="N470" t="str">
            <v>01 - 29 MARCH</v>
          </cell>
          <cell r="O470" t="str">
            <v>(NB20260315)_Mar_Sellout Support_RF _Asus_Select</v>
          </cell>
        </row>
        <row r="471">
          <cell r="C471" t="str">
            <v>RF X1504VA-NJ2218WS</v>
          </cell>
          <cell r="E471" t="str">
            <v>X1504VA-NJ2218WS</v>
          </cell>
          <cell r="F471" t="str">
            <v>90NB10J2-M02SN0</v>
          </cell>
          <cell r="G471" t="str">
            <v xml:space="preserve">Intel® Core™ i5-1334U  / 16GB (8*2) DDR4 / 512GB PCIe® 4.0 SSD / 15.6-inch / FHD (1920 x 1080) 16:9  /  / COOL SILVER / Backlit KB / Win 11 Home / Office Home 2024 &amp; M365 Basic 1 Year / </v>
          </cell>
          <cell r="H471">
            <v>42392</v>
          </cell>
          <cell r="I471">
            <v>34309</v>
          </cell>
          <cell r="J471">
            <v>38192</v>
          </cell>
          <cell r="K471">
            <v>30910</v>
          </cell>
          <cell r="L471">
            <v>4200</v>
          </cell>
          <cell r="M471">
            <v>3399</v>
          </cell>
          <cell r="N471" t="str">
            <v>01 - 29 MARCH</v>
          </cell>
          <cell r="O471" t="str">
            <v>(NB20260315)_Mar_Sellout Support_RF _Asus_Select</v>
          </cell>
        </row>
        <row r="472">
          <cell r="C472" t="str">
            <v>RF X1504VA-NJ540WS</v>
          </cell>
          <cell r="E472" t="str">
            <v>X1504VA-NJ540WS</v>
          </cell>
          <cell r="F472" t="str">
            <v>90NB14G2-M00020</v>
          </cell>
          <cell r="G472" t="str">
            <v xml:space="preserve">Intel® Core™ i5-1335U / 16GB (8*2) DDR4 / 512GB PCIe® 4.0 SSD / 15.6-inch / FHD (1920 x 1080) 16:9  /  / COOL SILVER / Backlit KB / Win 11 Home / MS Office / </v>
          </cell>
          <cell r="H472">
            <v>42392</v>
          </cell>
          <cell r="I472">
            <v>34309</v>
          </cell>
          <cell r="J472">
            <v>38192</v>
          </cell>
          <cell r="K472">
            <v>30910</v>
          </cell>
          <cell r="L472">
            <v>4200</v>
          </cell>
          <cell r="M472">
            <v>3399</v>
          </cell>
          <cell r="N472" t="str">
            <v>01 - 29 MARCH</v>
          </cell>
          <cell r="O472" t="str">
            <v>(NB20260315)_Mar_Sellout Support_RF _Asus_Select</v>
          </cell>
        </row>
        <row r="473">
          <cell r="C473" t="str">
            <v>RF X1504VA-NJ543WS</v>
          </cell>
          <cell r="E473" t="str">
            <v>X1504VA-NJ543WS</v>
          </cell>
          <cell r="F473" t="str">
            <v>90NB10J1-M001Y0</v>
          </cell>
          <cell r="G473" t="str">
            <v xml:space="preserve">Intel®Core™ i5-1335U /  /  / 16GB (8*2) DDR4 / 512GB PCIe® 3.0 SSD / 15.6-inch / FHD (1920 x 1080) 16:9  /  / Quiet Blue /  /  / FingerPrint /  / Win 11 Home / MS Office / </v>
          </cell>
          <cell r="H473">
            <v>42392</v>
          </cell>
          <cell r="I473">
            <v>34309</v>
          </cell>
          <cell r="J473">
            <v>38192</v>
          </cell>
          <cell r="K473">
            <v>30910</v>
          </cell>
          <cell r="L473">
            <v>4200</v>
          </cell>
          <cell r="M473">
            <v>3399</v>
          </cell>
          <cell r="N473" t="str">
            <v>01 - 29 MARCH</v>
          </cell>
          <cell r="O473" t="str">
            <v>(NB20260315)_Mar_Sellout Support_RF _Asus_Select</v>
          </cell>
        </row>
        <row r="474">
          <cell r="C474" t="str">
            <v>RF X1504VA-NJ546WS</v>
          </cell>
          <cell r="E474" t="str">
            <v>X1504VA-NJ546WS</v>
          </cell>
          <cell r="F474" t="str">
            <v>90NB10J2-M021Z0</v>
          </cell>
          <cell r="G474" t="str">
            <v xml:space="preserve">Intel® Core™ i5-1335U / 16GB (8*2) DDR4 / 512GB PCIe® 4.0 SSD / 15.6-inch / FHD (1920 x 1080) 16:9  /  / COOL SILVER / Backlit KB / Win 11 Home / OFFICE HOME 2024 (IN)+M365 BASIC / </v>
          </cell>
          <cell r="H474">
            <v>42392</v>
          </cell>
          <cell r="I474">
            <v>34309</v>
          </cell>
          <cell r="J474">
            <v>38192</v>
          </cell>
          <cell r="K474">
            <v>30910</v>
          </cell>
          <cell r="L474">
            <v>4200</v>
          </cell>
          <cell r="M474">
            <v>3399</v>
          </cell>
          <cell r="N474" t="str">
            <v>01 - 29 MARCH</v>
          </cell>
          <cell r="O474" t="str">
            <v>(NB20260315)_Mar_Sellout Support_RF _Asus_Select</v>
          </cell>
        </row>
        <row r="475">
          <cell r="C475" t="str">
            <v>RF X1504VAP-BQ1342WS</v>
          </cell>
          <cell r="E475" t="str">
            <v>X1504VAP-BQ1342WS</v>
          </cell>
          <cell r="F475" t="str">
            <v>90NB13Y1-M01R30</v>
          </cell>
          <cell r="G475" t="str">
            <v xml:space="preserve">INTEL CORE 3 100U / DDR5 8G+8G[ON BD.] / 512GB PCIe® 4.0 SSD / 15.6-inch / 15.6" FHD ANTI-GLARE NON-TOUCH,250NITS,NTSC:45%,VIPS-NB(BQ) /  / Quiet Blue / Backlit KB / Win 11 Home / MS Office 2024 + MSO 365 / </v>
          </cell>
          <cell r="H475">
            <v>39742.5</v>
          </cell>
          <cell r="I475">
            <v>32164</v>
          </cell>
          <cell r="J475">
            <v>38342.5</v>
          </cell>
          <cell r="K475">
            <v>31031</v>
          </cell>
          <cell r="L475">
            <v>1400</v>
          </cell>
          <cell r="M475">
            <v>1133</v>
          </cell>
          <cell r="N475" t="str">
            <v>01 - 29 MARCH</v>
          </cell>
          <cell r="O475" t="str">
            <v>(NB20260315)_Mar_Sellout Support_RF _Asus_Select</v>
          </cell>
        </row>
        <row r="476">
          <cell r="C476" t="str">
            <v>RF X1504VA-NJ544WS</v>
          </cell>
          <cell r="E476" t="str">
            <v>X1504VA-NJ544WS</v>
          </cell>
          <cell r="F476" t="str">
            <v>90NB10J2-M001Z0</v>
          </cell>
          <cell r="G476" t="str">
            <v xml:space="preserve">Intel®Core™ i5-1335U /  /  / 16GB (8*2) DDR4 / 512GB PCIe® 3.0 SSD / 15.6-inch / FHD (1920 x 1080) 16:9  /  / COOL SILVER /  /  / FingerPrint /  / Win 11 Home / MS Office / </v>
          </cell>
          <cell r="H476">
            <v>44792</v>
          </cell>
          <cell r="I476">
            <v>36251</v>
          </cell>
          <cell r="J476">
            <v>38492</v>
          </cell>
          <cell r="K476">
            <v>31152</v>
          </cell>
          <cell r="L476">
            <v>6300</v>
          </cell>
          <cell r="M476">
            <v>5099</v>
          </cell>
          <cell r="N476" t="str">
            <v>01 - 29 MARCH</v>
          </cell>
          <cell r="O476" t="str">
            <v>(NB20260315)_Mar_Sellout Support_RF _Asus_Select</v>
          </cell>
        </row>
        <row r="477">
          <cell r="C477" t="str">
            <v>RF M3400QA-KM702WS</v>
          </cell>
          <cell r="E477" t="str">
            <v>M3400QA-KM702WS</v>
          </cell>
          <cell r="F477" t="str">
            <v>90NB0UG4-M000K0</v>
          </cell>
          <cell r="G477" t="str">
            <v xml:space="preserve">Ryzen™ 7 5800H  / 16GB DDR4 /  / 512GB PCIe® 3.0 SSD / 14.0-inch / 2.8K (2880 x 1800) OLED 16:10 aspect ratio / 90Hz refresh rate / AMD Radeon™ Graphics /  / Solar Silver /  / FingerPrint / Backlit Chiclet Keyboard / Windows 11 Home / Office Home and Student 2021 </v>
          </cell>
          <cell r="H477">
            <v>45493</v>
          </cell>
          <cell r="I477">
            <v>36818</v>
          </cell>
          <cell r="J477">
            <v>38493</v>
          </cell>
          <cell r="K477">
            <v>31153</v>
          </cell>
          <cell r="L477">
            <v>7000</v>
          </cell>
          <cell r="M477">
            <v>5665</v>
          </cell>
          <cell r="N477" t="str">
            <v>01 - 29 MARCH</v>
          </cell>
          <cell r="O477" t="str">
            <v>(NB20260315)_Mar_Sellout Support_RF _Asus_Select</v>
          </cell>
        </row>
        <row r="478">
          <cell r="C478" t="str">
            <v>RF UM5401QA-KM751WS</v>
          </cell>
          <cell r="E478" t="str">
            <v>UM5401QA-KM751WS</v>
          </cell>
          <cell r="F478" t="str">
            <v>90NB0UR5-M00HZ0</v>
          </cell>
          <cell r="G478" t="str">
            <v>AMD Ryzen™ 7 5800HS /  /  / 16GB LPDDR4X  / 1TB PCIe® 3.0 SSD / 14.0-inch / 2.8K (2880 x 1800) OLED 16:10  / 90Hz refresh rate / Jade Black / NumberPad /  / FingerPrint / Backlit KB / Win 11 Home / MS Office / Sleeve</v>
          </cell>
          <cell r="H478">
            <v>41994</v>
          </cell>
          <cell r="I478">
            <v>33987</v>
          </cell>
          <cell r="J478">
            <v>38494</v>
          </cell>
          <cell r="K478">
            <v>31154</v>
          </cell>
          <cell r="L478">
            <v>3500</v>
          </cell>
          <cell r="M478">
            <v>2833</v>
          </cell>
          <cell r="N478" t="str">
            <v>01 - 29 MARCH</v>
          </cell>
          <cell r="O478" t="str">
            <v>(NB20260315)_Mar_Sellout Support_RF _Asus_Select</v>
          </cell>
        </row>
        <row r="479">
          <cell r="C479" t="str">
            <v>RF M1502YA-BQ702WS</v>
          </cell>
          <cell r="E479" t="str">
            <v>M1502YA-BQ702WS</v>
          </cell>
          <cell r="F479" t="str">
            <v>90NB0X22-M011S0</v>
          </cell>
          <cell r="G479" t="str">
            <v xml:space="preserve">AMD R7-5825U / 16GB (8*2) DDR4 / 512GB PCIe® 3.0 SSD / 15.6" FHD ANTI-GLARE NON-TOUCH,250NITS,NTSC:45%,VIPS-NB(BQ) /  / COOL SILVER / Backlit KB / Win 11 Home / OFFICE HOME 2024 (IN)+M365 BASIC / </v>
          </cell>
          <cell r="H479">
            <v>39992</v>
          </cell>
          <cell r="I479">
            <v>32366</v>
          </cell>
          <cell r="J479">
            <v>38592</v>
          </cell>
          <cell r="K479">
            <v>31233</v>
          </cell>
          <cell r="L479">
            <v>1400</v>
          </cell>
          <cell r="M479">
            <v>1133</v>
          </cell>
          <cell r="N479" t="str">
            <v>01 - 29 MARCH</v>
          </cell>
          <cell r="O479" t="str">
            <v>(NB20260315)_Mar_Sellout Support_RF _Asus_Select</v>
          </cell>
        </row>
        <row r="480">
          <cell r="C480" t="str">
            <v>RF M1502YA-BQ703WS</v>
          </cell>
          <cell r="E480" t="str">
            <v>M1502YA-BQ703WS</v>
          </cell>
          <cell r="F480" t="str">
            <v>90NB0X21-M011U0</v>
          </cell>
          <cell r="G480" t="str">
            <v xml:space="preserve">AMD R7-5825U / 16GB (8*2) DDR4 / 512GB PCIe® 3.0 SSD  / 15.6" FHD ANTI-GLARE NON-TOUCH,250NITS,NTSC:45%,VIPS-NB(BQ) /  / QUIET BLUE / Backlit KB / Win 11 Home / OFFICE HOME 2024 (IN)+M365 BASIC / </v>
          </cell>
          <cell r="H480">
            <v>39992</v>
          </cell>
          <cell r="I480">
            <v>32366</v>
          </cell>
          <cell r="J480">
            <v>38592</v>
          </cell>
          <cell r="K480">
            <v>31233</v>
          </cell>
          <cell r="L480">
            <v>1400</v>
          </cell>
          <cell r="M480">
            <v>1133</v>
          </cell>
          <cell r="N480" t="str">
            <v>01 - 29 MARCH</v>
          </cell>
          <cell r="O480" t="str">
            <v>(NB20260315)_Mar_Sellout Support_RF _Asus_Select</v>
          </cell>
        </row>
        <row r="481">
          <cell r="C481" t="str">
            <v>RF UX325EA-KG722TS</v>
          </cell>
          <cell r="E481" t="str">
            <v>UX325EA-KG722TS</v>
          </cell>
          <cell r="F481" t="str">
            <v>90NB0SL1-M08360</v>
          </cell>
          <cell r="G481" t="str">
            <v>i7-1165G7//16G/512G PCIe SSD/PINE GREY/13.3"FHD OLED/1Y international warranty + McAfee/Office H&amp;S/NUMPAD/Zenbook Sleeve/Audio Jack Dongle</v>
          </cell>
          <cell r="H481">
            <v>43794</v>
          </cell>
          <cell r="I481">
            <v>35443</v>
          </cell>
          <cell r="J481">
            <v>38894</v>
          </cell>
          <cell r="K481">
            <v>31478</v>
          </cell>
          <cell r="L481">
            <v>4900</v>
          </cell>
          <cell r="M481">
            <v>3965</v>
          </cell>
          <cell r="N481" t="str">
            <v>01 - 29 MARCH</v>
          </cell>
          <cell r="O481" t="str">
            <v>(NB20260315)_Mar_Sellout Support_RF _Asus_Select</v>
          </cell>
        </row>
        <row r="482">
          <cell r="C482" t="str">
            <v>RF X1502ZA-EJ541WS</v>
          </cell>
          <cell r="E482" t="str">
            <v>X1502ZA-EJ541WS</v>
          </cell>
          <cell r="F482" t="str">
            <v>90NB0VX1-M01MV0</v>
          </cell>
          <cell r="G482" t="str">
            <v xml:space="preserve">Intel® Core™ i5-12500H /  /  / 16GB (8*2) DDR4 / 512GB PCIe® 3.0 SSD / 15.6-inch / FHD (1920 x 1080) 16:9  /  / Quiet Blue / Backlit KB / Win 11 Home / MS Office / </v>
          </cell>
          <cell r="H482">
            <v>43192</v>
          </cell>
          <cell r="I482">
            <v>34956</v>
          </cell>
          <cell r="J482">
            <v>38992</v>
          </cell>
          <cell r="K482">
            <v>31557</v>
          </cell>
          <cell r="L482">
            <v>4200</v>
          </cell>
          <cell r="M482">
            <v>3399</v>
          </cell>
          <cell r="N482" t="str">
            <v>01 - 29 MARCH</v>
          </cell>
          <cell r="O482" t="str">
            <v>(NB20260315)_Mar_Sellout Support_RF _Asus_Select</v>
          </cell>
        </row>
        <row r="483">
          <cell r="C483" t="str">
            <v>RF X1502ZA-EJ542WS</v>
          </cell>
          <cell r="E483" t="str">
            <v>X1502ZA-EJ542WS</v>
          </cell>
          <cell r="F483" t="str">
            <v>90NB0VX2-M01MW0</v>
          </cell>
          <cell r="G483" t="str">
            <v xml:space="preserve">Intel® Core™ i5-12500H /  /  / 16GB (8*2) DDR4 / 512GB PCIe® 3.0 SSD / 15.6-inch / FHD (1920 x 1080) 16:9  /  / Icelight Silver / Backlit KB / Win 11 Home / MS Office / </v>
          </cell>
          <cell r="H483">
            <v>43192</v>
          </cell>
          <cell r="I483">
            <v>34956</v>
          </cell>
          <cell r="J483">
            <v>38992</v>
          </cell>
          <cell r="K483">
            <v>31557</v>
          </cell>
          <cell r="L483">
            <v>4200</v>
          </cell>
          <cell r="M483">
            <v>3399</v>
          </cell>
          <cell r="N483" t="str">
            <v>01 - 29 MARCH</v>
          </cell>
          <cell r="O483" t="str">
            <v>(NB20260315)_Mar_Sellout Support_RF _Asus_Select</v>
          </cell>
        </row>
        <row r="484">
          <cell r="C484" t="str">
            <v>RF X1502ZA-EJ544WS</v>
          </cell>
          <cell r="E484" t="str">
            <v>X1502ZA-EJ544WS</v>
          </cell>
          <cell r="F484" t="str">
            <v>90NB0VX2-M01WH0</v>
          </cell>
          <cell r="G484" t="str">
            <v xml:space="preserve">Intel® Core™ i5-12500H /  /  / 16GB (8*2) DDR4 / 512GB PCIe® 4.0 SSD / 15.6-inch / FHD (1920 x 1080) 16:9  /  / Icelight Silver / Backlit KB / Win 11 Home / MS Office / </v>
          </cell>
          <cell r="H484">
            <v>43192</v>
          </cell>
          <cell r="I484">
            <v>34956</v>
          </cell>
          <cell r="J484">
            <v>38992</v>
          </cell>
          <cell r="K484">
            <v>31557</v>
          </cell>
          <cell r="L484">
            <v>4200</v>
          </cell>
          <cell r="M484">
            <v>3399</v>
          </cell>
          <cell r="N484" t="str">
            <v>01 - 29 MARCH</v>
          </cell>
          <cell r="O484" t="str">
            <v>(NB20260315)_Mar_Sellout Support_RF _Asus_Select</v>
          </cell>
        </row>
        <row r="485">
          <cell r="C485" t="str">
            <v>RF X1505ZA-L1511WS</v>
          </cell>
          <cell r="E485" t="str">
            <v>X1505ZA-L1511WS</v>
          </cell>
          <cell r="F485" t="str">
            <v>90NB0ZB1-M002R0</v>
          </cell>
          <cell r="G485" t="str">
            <v>i5-1235U//16G/512 PCIe SSD/INDIE BLACK/15.6" FHD OLED/1Y international warranty + McAfee/Office H&amp;S/Finger Print/Backlit KB</v>
          </cell>
          <cell r="H485">
            <v>44792</v>
          </cell>
          <cell r="I485">
            <v>36251</v>
          </cell>
          <cell r="J485">
            <v>39192</v>
          </cell>
          <cell r="K485">
            <v>31719</v>
          </cell>
          <cell r="L485">
            <v>5600</v>
          </cell>
          <cell r="M485">
            <v>4532</v>
          </cell>
          <cell r="N485" t="str">
            <v>01 - 29 MARCH</v>
          </cell>
          <cell r="O485" t="str">
            <v>(NB20260315)_Mar_Sellout Support_RF _Asus_Select</v>
          </cell>
        </row>
        <row r="486">
          <cell r="C486" t="str">
            <v>RF M3504YA-LK541WS</v>
          </cell>
          <cell r="E486" t="str">
            <v>M3504YA-LK541WS</v>
          </cell>
          <cell r="F486" t="str">
            <v>90NB1181-M005W0</v>
          </cell>
          <cell r="G486" t="str">
            <v xml:space="preserve">AMD Ryzen™ 5 7530U /  /  / 16GB (8*2) DDR4 / 512GB PCIe® 3.0 SSD / 15.6-inch / FHD (1920 x 1080) OLED 16:9  /  / Indie Black /  /  / FingerPrint / Backlit KB / Win 11 Home / MS Office / </v>
          </cell>
          <cell r="H486">
            <v>43992</v>
          </cell>
          <cell r="I486">
            <v>35604</v>
          </cell>
          <cell r="J486">
            <v>39792</v>
          </cell>
          <cell r="K486">
            <v>32205</v>
          </cell>
          <cell r="L486">
            <v>4200</v>
          </cell>
          <cell r="M486">
            <v>3399</v>
          </cell>
          <cell r="N486" t="str">
            <v>01 - 29 MARCH</v>
          </cell>
          <cell r="O486" t="str">
            <v>(NB20260315)_Mar_Sellout Support_RF _Asus_Select</v>
          </cell>
        </row>
        <row r="487">
          <cell r="C487" t="str">
            <v>RF X1605ZAC-MB540WS</v>
          </cell>
          <cell r="E487" t="str">
            <v>X1605ZAC-MB540WS</v>
          </cell>
          <cell r="F487" t="str">
            <v>90NB15M2-M00030</v>
          </cell>
          <cell r="G487" t="str">
            <v xml:space="preserve">Intel® Core™ i5-12500H / 16GB DDR4  / 512GB PCIe® 4.0 SSD / 16.0-inch / WUXGA (1920 x 1200) 16:10  /  / Transparent Silver /  /  / FingerPrint / Backlit KB / Win 11 Home / MS Office / </v>
          </cell>
          <cell r="H487">
            <v>43992</v>
          </cell>
          <cell r="I487">
            <v>35604</v>
          </cell>
          <cell r="J487">
            <v>39792</v>
          </cell>
          <cell r="K487">
            <v>32205</v>
          </cell>
          <cell r="L487">
            <v>4200</v>
          </cell>
          <cell r="M487">
            <v>3399</v>
          </cell>
          <cell r="N487" t="str">
            <v>01 - 29 MARCH</v>
          </cell>
          <cell r="O487" t="str">
            <v>(NB20260315)_Mar_Sellout Support_RF _Asus_Select</v>
          </cell>
        </row>
        <row r="488">
          <cell r="C488" t="str">
            <v>RF X1605ZAC-MB542WS</v>
          </cell>
          <cell r="E488" t="str">
            <v>X1605ZAC-MB542WS</v>
          </cell>
          <cell r="F488" t="str">
            <v>90NB0ZA3-M013X0</v>
          </cell>
          <cell r="G488" t="str">
            <v xml:space="preserve">Intel® Core™ i5-12500H / 16GB DDR4  / 512GB PCIe® 4.0 SSD / 16.0-inch / WUXGA (1920 x 1200) 16:10  /  / Indie Black /  /  / FingerPrint / Backlit KB / Win 11 Home / MS Office / </v>
          </cell>
          <cell r="H488">
            <v>43992</v>
          </cell>
          <cell r="I488">
            <v>35604</v>
          </cell>
          <cell r="J488">
            <v>39792</v>
          </cell>
          <cell r="K488">
            <v>32205</v>
          </cell>
          <cell r="L488">
            <v>4200</v>
          </cell>
          <cell r="M488">
            <v>3399</v>
          </cell>
          <cell r="N488" t="str">
            <v>01 - 29 MARCH</v>
          </cell>
          <cell r="O488" t="str">
            <v>(NB20260315)_Mar_Sellout Support_RF _Asus_Select</v>
          </cell>
        </row>
        <row r="489">
          <cell r="C489" t="str">
            <v>RF K3502ZA-KJ522WS</v>
          </cell>
          <cell r="E489" t="str">
            <v>K3502ZA-KJ522WS</v>
          </cell>
          <cell r="F489" t="str">
            <v>90NB0WK2-M00UZ0</v>
          </cell>
          <cell r="G489" t="str">
            <v xml:space="preserve">Intel® Core™ i5-12500H / EVO /  / 8GB (4*2) DDR4 / 512GB PCIe® 4.0 SSD / 15.6-inch / FHD IPS (1920 x 1080) 16:9  /  / Indie Black /  /  / FingerPrint / Backlit KB / Win 11 Home / MS Office / </v>
          </cell>
          <cell r="H489">
            <v>44093</v>
          </cell>
          <cell r="I489">
            <v>35685</v>
          </cell>
          <cell r="J489">
            <v>39893</v>
          </cell>
          <cell r="K489">
            <v>32286</v>
          </cell>
          <cell r="L489">
            <v>4200</v>
          </cell>
          <cell r="M489">
            <v>3399</v>
          </cell>
          <cell r="N489" t="str">
            <v>01 - 29 MARCH</v>
          </cell>
          <cell r="O489" t="str">
            <v>(NB20260315)_Mar_Sellout Support_RF _Asus_Select</v>
          </cell>
        </row>
        <row r="490">
          <cell r="C490" t="str">
            <v>RF S3402ZA-LY522WS</v>
          </cell>
          <cell r="E490" t="str">
            <v>S3402ZA-LY522WS</v>
          </cell>
          <cell r="F490" t="str">
            <v>90NB0WE2-M00P60</v>
          </cell>
          <cell r="G490" t="str">
            <v xml:space="preserve">Intel® Core™ i5-12500H /EVO  /  / 8GB (4*2) DDR4 / 512GB PCIe® 4.0 SSD / 14.0-inch / WUXGA (1920 x 1200) 16:10  /  / Indie Black /  /  / FingerPrint / Backlit KB / Win 11 Home / MS Office / </v>
          </cell>
          <cell r="H490">
            <v>44093</v>
          </cell>
          <cell r="I490">
            <v>35685</v>
          </cell>
          <cell r="J490">
            <v>39893</v>
          </cell>
          <cell r="K490">
            <v>32286</v>
          </cell>
          <cell r="L490">
            <v>4200</v>
          </cell>
          <cell r="M490">
            <v>3399</v>
          </cell>
          <cell r="N490" t="str">
            <v>01 - 29 MARCH</v>
          </cell>
          <cell r="O490" t="str">
            <v>(NB20260315)_Mar_Sellout Support_RF _Asus_Select</v>
          </cell>
        </row>
        <row r="491">
          <cell r="C491" t="str">
            <v>RF X1504VAP-BQ1542WS</v>
          </cell>
          <cell r="E491" t="str">
            <v>X1504VAP-BQ1542WS</v>
          </cell>
          <cell r="F491" t="str">
            <v>90NB13Y1-M01PR0</v>
          </cell>
          <cell r="G491" t="str">
            <v xml:space="preserve">INTEL CORE 5 120U / 16GB (8*2) DDR5 / 512GB PCIe® 4.0 SSD / 15.6-inch / 15.6" FHD ANTI-GLARE NON-TOUCH,250NITS,NTSC:45%,VIPS-NB(BQ) /  / QUIET BLUE /  /  / FingerPrint / Backlit KB / Win 11 Home / OFFICE HOME 2024 (IN)+M365 BASIC / </v>
          </cell>
          <cell r="H491">
            <v>44242.5</v>
          </cell>
          <cell r="I491">
            <v>35806</v>
          </cell>
          <cell r="J491">
            <v>40042.5</v>
          </cell>
          <cell r="K491">
            <v>32407</v>
          </cell>
          <cell r="L491">
            <v>4200</v>
          </cell>
          <cell r="M491">
            <v>3399</v>
          </cell>
          <cell r="N491" t="str">
            <v>01 - 29 MARCH</v>
          </cell>
          <cell r="O491" t="str">
            <v>(NB20260315)_Mar_Sellout Support_RF _Asus_Select</v>
          </cell>
        </row>
        <row r="492">
          <cell r="C492" t="str">
            <v>RF X512FL-EJ712TS</v>
          </cell>
          <cell r="E492" t="str">
            <v>X512FL-EJ712TS</v>
          </cell>
          <cell r="F492" t="str">
            <v>90NB0M93-M09630</v>
          </cell>
          <cell r="G492" t="str">
            <v>i7-10510U/MX250/8G/1T+256G PCIe SSD/SLATE GREY/15.6"FHD/1Y international warranty/Office H&amp;S/Backlit KB/Finger Print</v>
          </cell>
          <cell r="H492">
            <v>44994</v>
          </cell>
          <cell r="I492">
            <v>36415</v>
          </cell>
          <cell r="J492">
            <v>40094</v>
          </cell>
          <cell r="K492">
            <v>32449</v>
          </cell>
          <cell r="L492">
            <v>4900</v>
          </cell>
          <cell r="M492">
            <v>3966</v>
          </cell>
          <cell r="N492" t="str">
            <v>01 - 29 MARCH</v>
          </cell>
          <cell r="O492" t="str">
            <v>(NB20260315)_Mar_Sellout Support_RF _Asus_Select</v>
          </cell>
        </row>
        <row r="493">
          <cell r="C493" t="str">
            <v>RF K3504VAB-NJ541WS</v>
          </cell>
          <cell r="E493" t="str">
            <v>K3504VAB-NJ541WS</v>
          </cell>
          <cell r="F493" t="str">
            <v>90NB10A1-M007Z0</v>
          </cell>
          <cell r="G493" t="str">
            <v xml:space="preserve">Intel® Core™ i5-1335U /  /  / 16GB (8*2) DDR4 / 512GB PCIe® 4.0 SSD / 15.6-inch / FHD (1920 x 1080) 16:9  /  / Indie Black / Backlit KB / Win 11 Home / MS Office / </v>
          </cell>
          <cell r="H493">
            <v>43992</v>
          </cell>
          <cell r="I493">
            <v>35604</v>
          </cell>
          <cell r="J493">
            <v>40142</v>
          </cell>
          <cell r="K493">
            <v>32488</v>
          </cell>
          <cell r="L493">
            <v>3850</v>
          </cell>
          <cell r="M493">
            <v>3116</v>
          </cell>
          <cell r="N493" t="str">
            <v>01 - 29 MARCH</v>
          </cell>
          <cell r="O493" t="str">
            <v>(NB20260315)_Mar_Sellout Support_RF _Asus_Select</v>
          </cell>
        </row>
        <row r="494">
          <cell r="C494" t="str">
            <v>RF K3504VAB-NJ542WS</v>
          </cell>
          <cell r="E494" t="str">
            <v>K3504VAB-NJ542WS</v>
          </cell>
          <cell r="F494" t="str">
            <v>90NB10A2-M00810</v>
          </cell>
          <cell r="G494" t="str">
            <v xml:space="preserve">Intel® Core™ i5-1335U /  /  / 16GB (8*2) DDR4 / 512GB PCIe® 4.0 SSD / 15.6-inch / FHD (1920 x 1080) 16:9  /  / Cool Silver / Backlit KB / Win 11 Home / MS Office / </v>
          </cell>
          <cell r="H494">
            <v>43992</v>
          </cell>
          <cell r="I494">
            <v>35604</v>
          </cell>
          <cell r="J494">
            <v>40142</v>
          </cell>
          <cell r="K494">
            <v>32488</v>
          </cell>
          <cell r="L494">
            <v>3850</v>
          </cell>
          <cell r="M494">
            <v>3116</v>
          </cell>
          <cell r="N494" t="str">
            <v>01 - 29 MARCH</v>
          </cell>
          <cell r="O494" t="str">
            <v>(NB20260315)_Mar_Sellout Support_RF _Asus_Select</v>
          </cell>
        </row>
        <row r="495">
          <cell r="C495" t="str">
            <v>RF X1605ZAC-MB541WS</v>
          </cell>
          <cell r="E495" t="str">
            <v>X1605ZAC-MB541WS</v>
          </cell>
          <cell r="F495" t="str">
            <v>90NB0ZA2-M013V0</v>
          </cell>
          <cell r="G495" t="str">
            <v xml:space="preserve">Intel® Core™ i5-12500H / 16GB DDR4  / 512GB PCIe® 4.0 SSD / 16.0-inch / WUXGA (1920 x 1200) 16:10  /  / Transparent Silver /  /  / FingerPrint / Backlit KB / Win 11 Home / MS Office / </v>
          </cell>
          <cell r="H495">
            <v>43992</v>
          </cell>
          <cell r="I495">
            <v>35604</v>
          </cell>
          <cell r="J495">
            <v>40492</v>
          </cell>
          <cell r="K495">
            <v>32771</v>
          </cell>
          <cell r="L495">
            <v>3500</v>
          </cell>
          <cell r="M495">
            <v>2833</v>
          </cell>
          <cell r="N495" t="str">
            <v>01 - 29 MARCH</v>
          </cell>
          <cell r="O495" t="str">
            <v>(NB20260315)_Mar_Sellout Support_RF _Asus_Select</v>
          </cell>
        </row>
        <row r="496">
          <cell r="C496" t="str">
            <v>RF KM413UA-EB701TS</v>
          </cell>
          <cell r="E496" t="str">
            <v>KM413UA-EB701TS</v>
          </cell>
          <cell r="F496" t="str">
            <v>90NB0TMG-M02000</v>
          </cell>
          <cell r="G496" t="str">
            <v>R7-5700U//8G/512G PCIe SSD/HEARTY GOLD/14.0"FHD/1Y international warranty//Finger Print/BK KB/MS Office</v>
          </cell>
          <cell r="H496">
            <v>47593</v>
          </cell>
          <cell r="I496">
            <v>38518</v>
          </cell>
          <cell r="J496">
            <v>40593</v>
          </cell>
          <cell r="K496">
            <v>32853</v>
          </cell>
          <cell r="L496">
            <v>7000</v>
          </cell>
          <cell r="M496">
            <v>5665</v>
          </cell>
          <cell r="N496" t="str">
            <v>01 - 29 MARCH</v>
          </cell>
          <cell r="O496" t="str">
            <v>(NB20260315)_Mar_Sellout Support_RF _Asus_Select</v>
          </cell>
        </row>
        <row r="497">
          <cell r="C497" t="str">
            <v>RF X1404VAP-EB1521WS</v>
          </cell>
          <cell r="E497" t="str">
            <v>X1404VAP-EB1521WS</v>
          </cell>
          <cell r="F497" t="str">
            <v>90NB13U2-M00MF0</v>
          </cell>
          <cell r="G497" t="str">
            <v xml:space="preserve">INTEL CORE 5 120U / 8GB DDR5 / 512GB PCIe® 4.0 SSD / 14.0-inch / 14" FHD ANTI-GLARE NON-TOUCH,250NITS,NTSC:45%,VIPS-NB(EB) /  / COOL SILVER /  /  / FingerPrint / Backlit KB / Win 11 Home / OFFICE HOME 2024 (IN)+M365 BASIC / </v>
          </cell>
          <cell r="H497">
            <v>42742.5</v>
          </cell>
          <cell r="I497">
            <v>34592</v>
          </cell>
          <cell r="J497">
            <v>40642.5</v>
          </cell>
          <cell r="K497">
            <v>32893</v>
          </cell>
          <cell r="L497">
            <v>2100</v>
          </cell>
          <cell r="M497">
            <v>1699</v>
          </cell>
          <cell r="N497" t="str">
            <v>01 - 29 MARCH</v>
          </cell>
          <cell r="O497" t="str">
            <v>(NB20260315)_Mar_Sellout Support_RF _Asus_Select</v>
          </cell>
        </row>
        <row r="498">
          <cell r="C498" t="str">
            <v>RF X1404VAP-EB1522WS</v>
          </cell>
          <cell r="E498" t="str">
            <v>X1404VAP-EB1522WS</v>
          </cell>
          <cell r="F498" t="str">
            <v>90NB13U1-M00MH0</v>
          </cell>
          <cell r="G498" t="str">
            <v xml:space="preserve">INTEL CORE 5 120U / 8GB DDR5 / 512GB PCIe® 4.0 SSD / 14.0-inch / 14" FHD ANTI-GLARE NON-TOUCH,250NITS,NTSC:45%,VIPS-NB(EB) /  / Quiet Blue /  /  / FingerPrint / Backlit KB / Win 11 Home / OFFICE HOME 2024 (IN)+M365 BASIC / </v>
          </cell>
          <cell r="H498">
            <v>42742.5</v>
          </cell>
          <cell r="I498">
            <v>34592</v>
          </cell>
          <cell r="J498">
            <v>40642.5</v>
          </cell>
          <cell r="K498">
            <v>32893</v>
          </cell>
          <cell r="L498">
            <v>2100</v>
          </cell>
          <cell r="M498">
            <v>1699</v>
          </cell>
          <cell r="N498" t="str">
            <v>01 - 29 MARCH</v>
          </cell>
          <cell r="O498" t="str">
            <v>(NB20260315)_Mar_Sellout Support_RF _Asus_Select</v>
          </cell>
        </row>
        <row r="499">
          <cell r="C499" t="str">
            <v>RF X1504VAP-BQ1521WS</v>
          </cell>
          <cell r="E499" t="str">
            <v>X1504VAP-BQ1521WS</v>
          </cell>
          <cell r="F499" t="str">
            <v>90NB13Y2-M01PT0</v>
          </cell>
          <cell r="G499" t="str">
            <v xml:space="preserve">INTEL CORE 5 120U / 8GB DDR5 / 512GB PCIe® 4.0 SSD / 15.6-inch / 15.6" FHD ANTI-GLARE NON-TOUCH,250NITS,NTSC:45%,VIPS-NB(BQ) /  / COOL SILVER /  /  / FingerPrint / Backlit KB / Win 11 Home / OFFICE HOME 2024 (IN)+M365 BASIC / </v>
          </cell>
          <cell r="H499">
            <v>42742.5</v>
          </cell>
          <cell r="I499">
            <v>34592</v>
          </cell>
          <cell r="J499">
            <v>40642.5</v>
          </cell>
          <cell r="K499">
            <v>32893</v>
          </cell>
          <cell r="L499">
            <v>2100</v>
          </cell>
          <cell r="M499">
            <v>1699</v>
          </cell>
          <cell r="N499" t="str">
            <v>01 - 29 MARCH</v>
          </cell>
          <cell r="O499" t="str">
            <v>(NB20260315)_Mar_Sellout Support_RF _Asus_Select</v>
          </cell>
        </row>
        <row r="500">
          <cell r="C500" t="str">
            <v>RF UX325EA-KG701TS</v>
          </cell>
          <cell r="E500" t="str">
            <v>UX325EA-KG701TS</v>
          </cell>
          <cell r="F500" t="str">
            <v>90NB0SL2-M07820</v>
          </cell>
          <cell r="G500" t="str">
            <v>i7-1165G7//16G/1T PCIe SSD/LILAC MIST/13.3"FHD OLED/1Y international warranty + McAfee/Office H&amp;S/NUMPAD/Zenbook Sleeve/Audio Jack Dongle</v>
          </cell>
          <cell r="H500">
            <v>45594</v>
          </cell>
          <cell r="I500">
            <v>36900</v>
          </cell>
          <cell r="J500">
            <v>40694</v>
          </cell>
          <cell r="K500">
            <v>32935</v>
          </cell>
          <cell r="L500">
            <v>4900</v>
          </cell>
          <cell r="M500">
            <v>3965</v>
          </cell>
          <cell r="N500" t="str">
            <v>01 - 29 MARCH</v>
          </cell>
          <cell r="O500" t="str">
            <v>(NB20260315)_Mar_Sellout Support_RF _Asus_Select</v>
          </cell>
        </row>
        <row r="501">
          <cell r="C501" t="str">
            <v>RF UX534FT-A7621TS</v>
          </cell>
          <cell r="E501" t="str">
            <v>UX534FT-A7621TS</v>
          </cell>
          <cell r="F501" t="str">
            <v>90NB0NK3-M05170</v>
          </cell>
          <cell r="G501" t="str">
            <v>i7-10510U/GTX1650_4G/16G/1T PCIe SSD/ROYAL BLUE/15.6"FHD IPS/SCREENPAD/1Y/Office H&amp;S</v>
          </cell>
          <cell r="H501">
            <v>45594</v>
          </cell>
          <cell r="I501">
            <v>36900</v>
          </cell>
          <cell r="J501">
            <v>40694</v>
          </cell>
          <cell r="K501">
            <v>32935</v>
          </cell>
          <cell r="L501">
            <v>4900</v>
          </cell>
          <cell r="M501">
            <v>3965</v>
          </cell>
          <cell r="N501" t="str">
            <v>01 - 29 MARCH</v>
          </cell>
          <cell r="O501" t="str">
            <v>(NB20260315)_Mar_Sellout Support_RF _Asus_Select</v>
          </cell>
        </row>
        <row r="502">
          <cell r="C502" t="str">
            <v>RF K3502ZA-KJ542WS</v>
          </cell>
          <cell r="E502" t="str">
            <v>K3502ZA-KJ542WS</v>
          </cell>
          <cell r="F502" t="str">
            <v>90NB0WK2-M00V00</v>
          </cell>
          <cell r="G502" t="str">
            <v xml:space="preserve">Intel® Core™ i5-12500H / EVO /  / 16GB (8*2) DDR4 / 512GB PCIe® 4.0 SSD / 15.6-inch / FHD IPS (1920 x 1080) 16:9  /  / Indie Black /  /  / FingerPrint / Backlit KB / Win 11 Home / MS Office / </v>
          </cell>
          <cell r="H502">
            <v>46193</v>
          </cell>
          <cell r="I502">
            <v>37385</v>
          </cell>
          <cell r="J502">
            <v>41293</v>
          </cell>
          <cell r="K502">
            <v>33419</v>
          </cell>
          <cell r="L502">
            <v>4900</v>
          </cell>
          <cell r="M502">
            <v>3966</v>
          </cell>
          <cell r="N502" t="str">
            <v>01 - 29 MARCH</v>
          </cell>
          <cell r="O502" t="str">
            <v>(NB20260315)_Mar_Sellout Support_RF _Asus_Select</v>
          </cell>
        </row>
        <row r="503">
          <cell r="C503" t="str">
            <v>RF S3402ZA-LY541WS</v>
          </cell>
          <cell r="E503" t="str">
            <v>S3402ZA-LY541WS</v>
          </cell>
          <cell r="F503" t="str">
            <v>90NB0WE1-M00P80</v>
          </cell>
          <cell r="G503" t="str">
            <v xml:space="preserve">Intel® Core™ i5-12500H /EVO  /  / 16GB (8*2) DDR4 / 512GB PCIe® 4.0 SSD / 14.0-inch / WUXGA (1920 x 1200) 16:10  /  / Neutral Grey /  /  / FingerPrint / Backlit KB / Win 11 Home / MS Office / </v>
          </cell>
          <cell r="H503">
            <v>46193</v>
          </cell>
          <cell r="I503">
            <v>37385</v>
          </cell>
          <cell r="J503">
            <v>41293</v>
          </cell>
          <cell r="K503">
            <v>33419</v>
          </cell>
          <cell r="L503">
            <v>4900</v>
          </cell>
          <cell r="M503">
            <v>3966</v>
          </cell>
          <cell r="N503" t="str">
            <v>01 - 29 MARCH</v>
          </cell>
          <cell r="O503" t="str">
            <v>(NB20260315)_Mar_Sellout Support_RF _Asus_Select</v>
          </cell>
        </row>
        <row r="504">
          <cell r="C504" t="str">
            <v>RF TP3402ZA-LZ501WS</v>
          </cell>
          <cell r="E504" t="str">
            <v>TP3402ZA-LZ501WS</v>
          </cell>
          <cell r="F504" t="str">
            <v>90NB0WR1-M004D0</v>
          </cell>
          <cell r="G504" t="str">
            <v>INTEL I5-12500H / 512G PCIEG3 SSD / DDR4 8G RAM / 14.0 FHD + TOUCH,300NITS,NTSC:45%-NB / QUIET BLUE / Backlit KB / FINGERPRINT / WITH NUMPAD / STYLUS / Win 11 /  / MS Office H&amp;S 2021 / MCAFEE_1Y</v>
          </cell>
          <cell r="H504">
            <v>51030</v>
          </cell>
          <cell r="I504">
            <v>41300</v>
          </cell>
          <cell r="J504">
            <v>41293</v>
          </cell>
          <cell r="K504">
            <v>33419</v>
          </cell>
          <cell r="L504">
            <v>9737</v>
          </cell>
          <cell r="M504">
            <v>7881</v>
          </cell>
          <cell r="N504" t="str">
            <v>01 - 29 MARCH</v>
          </cell>
          <cell r="O504" t="str">
            <v>(NB20260315)_Mar_Sellout Support_RF _Asus_Select</v>
          </cell>
        </row>
        <row r="505">
          <cell r="C505" t="str">
            <v>RF S3402ZA-LY542WS</v>
          </cell>
          <cell r="E505" t="str">
            <v>S3402ZA-LY542WS</v>
          </cell>
          <cell r="F505" t="str">
            <v>90NB0WE2-M00P50</v>
          </cell>
          <cell r="G505" t="str">
            <v xml:space="preserve">Intel® Core™ i5-12500H / EVO /  / 16GB (8*2) DDR4 / 512GB PCIe® 4.0 SSD / 14.0-inch / WUXGA (1920 x 1200) 16:10  /  / Indie Black /  /  / FingerPrint / Backlit KB / Win 11 Home / MS Office / </v>
          </cell>
          <cell r="H505">
            <v>46193</v>
          </cell>
          <cell r="I505">
            <v>37385</v>
          </cell>
          <cell r="J505">
            <v>41573</v>
          </cell>
          <cell r="K505">
            <v>33646</v>
          </cell>
          <cell r="L505">
            <v>4620</v>
          </cell>
          <cell r="M505">
            <v>3739</v>
          </cell>
          <cell r="N505" t="str">
            <v>01 - 29 MARCH</v>
          </cell>
          <cell r="O505" t="str">
            <v>(NB20260315)_Mar_Sellout Support_RF _Asus_Select</v>
          </cell>
        </row>
        <row r="506">
          <cell r="C506" t="str">
            <v>RF M3504YA-LK552WS</v>
          </cell>
          <cell r="E506" t="str">
            <v>M3504YA-LK552WS</v>
          </cell>
          <cell r="F506" t="str">
            <v>90NB1182-M005Y0</v>
          </cell>
          <cell r="G506" t="str">
            <v xml:space="preserve">AMD Ryzen™ 5 7530U /  /  / 16GB (8*2) DDR4 / 1TB PCIe® 3.0 SSD / 15.6-inch / FHD (1920 x 1080) OLED 16:9  /  / Cool Silver /  /  / FingerPrint / Backlit KB / Win 11 Home / MS Office / </v>
          </cell>
          <cell r="H506">
            <v>47192</v>
          </cell>
          <cell r="I506">
            <v>38194</v>
          </cell>
          <cell r="J506">
            <v>41592</v>
          </cell>
          <cell r="K506">
            <v>33661</v>
          </cell>
          <cell r="L506">
            <v>5600</v>
          </cell>
          <cell r="M506">
            <v>4533</v>
          </cell>
          <cell r="N506" t="str">
            <v>01 - 29 MARCH</v>
          </cell>
          <cell r="O506" t="str">
            <v>(NB20260315)_Mar_Sellout Support_RF _Asus_Select</v>
          </cell>
        </row>
        <row r="507">
          <cell r="C507" t="str">
            <v>RF M1502YA-BQ936WS</v>
          </cell>
          <cell r="E507" t="str">
            <v>M1502YA-BQ936WS</v>
          </cell>
          <cell r="F507" t="str">
            <v>90NB0X22-M01KS0</v>
          </cell>
          <cell r="G507" t="str">
            <v xml:space="preserve">AMD R7-7730U / 16GB (8*2) DDR4 / 512GB PCIe® 3.0 SSD / 15.6-inch / 15.6" FHD ANTI-GLARE NON-TOUCH,250NITS,NTSC:45%,VIPS-NB(BQ) /  / COOL SILVER / Backlit KB / Win 11 Home / OFFICE HOME 2024 (IN)+M365 BASIC / </v>
          </cell>
          <cell r="H507">
            <v>42392</v>
          </cell>
          <cell r="I507">
            <v>34309</v>
          </cell>
          <cell r="J507">
            <v>41692</v>
          </cell>
          <cell r="K507">
            <v>33742</v>
          </cell>
          <cell r="L507">
            <v>700</v>
          </cell>
          <cell r="M507">
            <v>567</v>
          </cell>
          <cell r="N507" t="str">
            <v>01 - 29 MARCH</v>
          </cell>
          <cell r="O507" t="str">
            <v>(NB20260315)_Mar_Sellout Support_RF _Asus_Select</v>
          </cell>
        </row>
        <row r="508">
          <cell r="C508" t="str">
            <v>RF M1502YA-BQ989WS</v>
          </cell>
          <cell r="E508" t="str">
            <v>M1502YA-BQ989WS</v>
          </cell>
          <cell r="F508" t="str">
            <v>90NB0X21-M01KT0</v>
          </cell>
          <cell r="G508" t="str">
            <v xml:space="preserve">AMD R7-7730U / 16GB (8*2) DDR4 / 512GB PCIe® 3.0 SSD / 15.6-inch / 15.6" FHD ANTI-GLARE NON-TOUCH,250NITS,NTSC:45%,VIPS-NB(BQ) /  / QUIET BLUE / Backlit KB / Win 11 Home / OFFICE HOME 2024 (IN)+M365 BASIC / </v>
          </cell>
          <cell r="H508">
            <v>42392</v>
          </cell>
          <cell r="I508">
            <v>34309</v>
          </cell>
          <cell r="J508">
            <v>41692</v>
          </cell>
          <cell r="K508">
            <v>33742</v>
          </cell>
          <cell r="L508">
            <v>700</v>
          </cell>
          <cell r="M508">
            <v>567</v>
          </cell>
          <cell r="N508" t="str">
            <v>01 - 29 MARCH</v>
          </cell>
          <cell r="O508" t="str">
            <v>(NB20260315)_Mar_Sellout Support_RF _Asus_Select</v>
          </cell>
        </row>
        <row r="509">
          <cell r="C509" t="str">
            <v>RF M1605YA-MB741WS</v>
          </cell>
          <cell r="E509" t="str">
            <v>M1605YA-MB741WS</v>
          </cell>
          <cell r="F509" t="str">
            <v>90NB10R1-M00AY0</v>
          </cell>
          <cell r="G509" t="str">
            <v xml:space="preserve">AMD Ryzen™ 7 7730U /  /  / 16GB (8*2) DDR4 / 512GB PCIe® 3.0 SSD / 16.0-inch / WUXGA (1920 x 1200) 16:10  /  / Tough Black /  /  / FingerPrint / Backlit KB / Win 11 Home / MS Office / </v>
          </cell>
          <cell r="H509">
            <v>43992</v>
          </cell>
          <cell r="I509">
            <v>35604</v>
          </cell>
          <cell r="J509">
            <v>41892</v>
          </cell>
          <cell r="K509">
            <v>33904</v>
          </cell>
          <cell r="L509">
            <v>2100</v>
          </cell>
          <cell r="M509">
            <v>1700</v>
          </cell>
          <cell r="N509" t="str">
            <v>01 - 29 MARCH</v>
          </cell>
          <cell r="O509" t="str">
            <v>(NB20260315)_Mar_Sellout Support_RF _Asus_Select</v>
          </cell>
        </row>
        <row r="510">
          <cell r="C510" t="str">
            <v>RF X1404VAP-EB541WS</v>
          </cell>
          <cell r="E510" t="str">
            <v>X1404VAP-EB541WS</v>
          </cell>
          <cell r="F510" t="str">
            <v>90NB13U2-M00CT0</v>
          </cell>
          <cell r="G510" t="str">
            <v xml:space="preserve">INTEL CORE 5 120U / 16GB (8*2) DDR4 / 512GB PCIe® 4.0 SSD / 14.0-inch / 14" FHD ANTI-GLARE NON-TOUCH,250NITS,NTSC:45%,VIPS-NB(EB) /  / COOL SILVER /  /  / FingerPrint / Backlit KB / Win 11 Home / OFFICE HOME 2024 (IN)+M365 BASIC / </v>
          </cell>
          <cell r="H510">
            <v>43992</v>
          </cell>
          <cell r="I510">
            <v>35604</v>
          </cell>
          <cell r="J510">
            <v>41892</v>
          </cell>
          <cell r="K510">
            <v>33904</v>
          </cell>
          <cell r="L510">
            <v>2100</v>
          </cell>
          <cell r="M510">
            <v>1700</v>
          </cell>
          <cell r="N510" t="str">
            <v>01 - 29 MARCH</v>
          </cell>
          <cell r="O510" t="str">
            <v>(NB20260315)_Mar_Sellout Support_RF _Asus_Select</v>
          </cell>
        </row>
        <row r="511">
          <cell r="C511" t="str">
            <v>RF X1404VAP-EB542WS</v>
          </cell>
          <cell r="E511" t="str">
            <v>X1404VAP-EB542WS</v>
          </cell>
          <cell r="F511" t="str">
            <v>90NB13U1-M00CV0</v>
          </cell>
          <cell r="G511" t="str">
            <v xml:space="preserve">INTEL CORE 5 120U / 16GB (8*2) DDR4 / 512GB PCIe® 4.0 SSD / 14.0-inch / 14" FHD ANTI-GLARE NON-TOUCH,250NITS,NTSC:45%,VIPS-NB(EB) /  / Quiet Blue /  /  / FingerPrint / Backlit KB / Win 11 Home / OFFICE HOME 2024 (IN)+M365 BASIC / </v>
          </cell>
          <cell r="H511">
            <v>43992</v>
          </cell>
          <cell r="I511">
            <v>35604</v>
          </cell>
          <cell r="J511">
            <v>41892</v>
          </cell>
          <cell r="K511">
            <v>33904</v>
          </cell>
          <cell r="L511">
            <v>2100</v>
          </cell>
          <cell r="M511">
            <v>1700</v>
          </cell>
          <cell r="N511" t="str">
            <v>01 - 29 MARCH</v>
          </cell>
          <cell r="O511" t="str">
            <v>(NB20260315)_Mar_Sellout Support_RF _Asus_Select</v>
          </cell>
        </row>
        <row r="512">
          <cell r="C512" t="str">
            <v>RF X1404VAP-EB543WS</v>
          </cell>
          <cell r="E512" t="str">
            <v>X1404VAP-EB543WS</v>
          </cell>
          <cell r="F512" t="str">
            <v>90NB13U3-M00F20</v>
          </cell>
          <cell r="G512" t="str">
            <v xml:space="preserve">INTEL CORE 5 120U / 16GB (8*2) DDR4 / 512GB PCIe® 4.0 SSD / 14.0-inch / 14" FHD ANTI-GLARE NON-TOUCH,250NITS,NTSC:45%,VIPS-NB(EB) /  / Terra Cotta /  /  / FingerPrint / Backlit KB / Win 11 Home / OFFICE HOME 2024 (IN)+M365 BASIC / </v>
          </cell>
          <cell r="H512">
            <v>43992</v>
          </cell>
          <cell r="I512">
            <v>35604</v>
          </cell>
          <cell r="J512">
            <v>41892</v>
          </cell>
          <cell r="K512">
            <v>33904</v>
          </cell>
          <cell r="L512">
            <v>2100</v>
          </cell>
          <cell r="M512">
            <v>1700</v>
          </cell>
          <cell r="N512" t="str">
            <v>01 - 29 MARCH</v>
          </cell>
          <cell r="O512" t="str">
            <v>(NB20260315)_Mar_Sellout Support_RF _Asus_Select</v>
          </cell>
        </row>
        <row r="513">
          <cell r="C513" t="str">
            <v>RF X1407QA-LY058WS</v>
          </cell>
          <cell r="E513" t="str">
            <v>X1407QA-LY058WS</v>
          </cell>
          <cell r="F513" t="str">
            <v>90NB1603-M004F0</v>
          </cell>
          <cell r="G513" t="str">
            <v xml:space="preserve">SNAPDRAGON X X126100 / LPDDR5X 16G [ON BD.] / 512G PCIE G4 / 14.0-inch / 14" WQXGA ANTI-GLARE NON-TOUCH,400NITS,sRGB 100%,IPS-NB(KP) /  / 1S-COOL SILVER / Backlit KB / Win 11 Home / MS Office 2024 + MSO 365 / </v>
          </cell>
          <cell r="H513">
            <v>49592</v>
          </cell>
          <cell r="I513">
            <v>40136</v>
          </cell>
          <cell r="J513">
            <v>41892</v>
          </cell>
          <cell r="K513">
            <v>33904</v>
          </cell>
          <cell r="L513">
            <v>7700</v>
          </cell>
          <cell r="M513">
            <v>6232</v>
          </cell>
          <cell r="N513" t="str">
            <v>01 - 29 MARCH</v>
          </cell>
          <cell r="O513" t="str">
            <v>(NB20260315)_Mar_Sellout Support_RF _Asus_Select</v>
          </cell>
        </row>
        <row r="514">
          <cell r="C514" t="str">
            <v>RF X1504VAP-BQ224WS</v>
          </cell>
          <cell r="E514" t="str">
            <v>X1504VAP-BQ224WS</v>
          </cell>
          <cell r="F514" t="str">
            <v>90NB17T2-M00020</v>
          </cell>
          <cell r="G514" t="str">
            <v xml:space="preserve">INTEL CORE 5 120U / 16GB (8*2) DDR4 / 512GB PCIe® 4.0 SSD / 15.6-inch / 15.6" FHD ANTI-GLARE NON-TOUCH,250NITS,NTSC:45%,VIPS-NB(BQ) /  / COOL SILVER /  /  / FingerPrint / Backlit KB / Win 11 Home / MS Office 2024 + MSO 365 / </v>
          </cell>
          <cell r="H514">
            <v>43992</v>
          </cell>
          <cell r="I514">
            <v>35604</v>
          </cell>
          <cell r="J514">
            <v>41892</v>
          </cell>
          <cell r="K514">
            <v>33904</v>
          </cell>
          <cell r="L514">
            <v>2100</v>
          </cell>
          <cell r="M514">
            <v>1700</v>
          </cell>
          <cell r="N514" t="str">
            <v>01 - 29 MARCH</v>
          </cell>
          <cell r="O514" t="str">
            <v>(NB20260315)_Mar_Sellout Support_RF _Asus_Select</v>
          </cell>
        </row>
        <row r="515">
          <cell r="C515" t="str">
            <v>RF X1504VAP-BQ541WS</v>
          </cell>
          <cell r="E515" t="str">
            <v>X1504VAP-BQ541WS</v>
          </cell>
          <cell r="F515" t="str">
            <v>90NB13Y2-M00TM0</v>
          </cell>
          <cell r="G515" t="str">
            <v xml:space="preserve">INTEL CORE 5 120U / 16GB (8*2) DDR4 / 512GB PCIe® 4.0 SSD / 15.6-inch / 15.6" FHD ANTI-GLARE NON-TOUCH,250NITS,NTSC:45%,VIPS-NB(BQ) /  / COOL SILVER /  /  / FingerPrint / Backlit KB / Win 11 Home / OFFICE HOME 2024 (IN)+M365 BASIC / </v>
          </cell>
          <cell r="H515">
            <v>43992</v>
          </cell>
          <cell r="I515">
            <v>35604</v>
          </cell>
          <cell r="J515">
            <v>41892</v>
          </cell>
          <cell r="K515">
            <v>33904</v>
          </cell>
          <cell r="L515">
            <v>2100</v>
          </cell>
          <cell r="M515">
            <v>1700</v>
          </cell>
          <cell r="N515" t="str">
            <v>01 - 29 MARCH</v>
          </cell>
          <cell r="O515" t="str">
            <v>(NB20260315)_Mar_Sellout Support_RF _Asus_Select</v>
          </cell>
        </row>
        <row r="516">
          <cell r="C516" t="str">
            <v>RF X1504VAP-BQ542WS</v>
          </cell>
          <cell r="E516" t="str">
            <v>X1504VAP-BQ542WS</v>
          </cell>
          <cell r="F516" t="str">
            <v>90NB13Y1-M010A0</v>
          </cell>
          <cell r="G516" t="str">
            <v xml:space="preserve">INTEL CORE 5 120U / 16GB (8*2) DDR4 / 512GB PCIe® 4.0 SSD / 15.6-inch / 15.6" FHD ANTI-GLARE NON-TOUCH,250NITS,NTSC:45%,VIPS-NB(BQ) /  / QUIET BLUE /  /  / FingerPrint / Backlit KB / Win 11 Home / OFFICE HOME 2024 (IN)+M365 BASIC / </v>
          </cell>
          <cell r="H516">
            <v>43992</v>
          </cell>
          <cell r="I516">
            <v>35604</v>
          </cell>
          <cell r="J516">
            <v>41892</v>
          </cell>
          <cell r="K516">
            <v>33904</v>
          </cell>
          <cell r="L516">
            <v>2100</v>
          </cell>
          <cell r="M516">
            <v>1700</v>
          </cell>
          <cell r="N516" t="str">
            <v>01 - 29 MARCH</v>
          </cell>
          <cell r="O516" t="str">
            <v>(NB20260315)_Mar_Sellout Support_RF _Asus_Select</v>
          </cell>
        </row>
        <row r="517">
          <cell r="C517" t="str">
            <v>RF X1504VAP-BQ543WS</v>
          </cell>
          <cell r="E517" t="str">
            <v>X1504VAP-BQ543WS</v>
          </cell>
          <cell r="F517" t="str">
            <v>90NB13Y3-M017B0</v>
          </cell>
          <cell r="G517" t="str">
            <v xml:space="preserve">INTEL CORE 5 120U / 16GB (8*2) DDR4 / 512GB PCIe® 4.0 SSD / 15.6-inch / 15.6" FHD ANTI-GLARE NON-TOUCH,250NITS,NTSC:45%,VIPS-NB(BQ) /  / Terra Cotta /  /  / FingerPrint / Backlit KB / Win 11 Home / OFFICE HOME 2024 (IN)+M365 BASIC / </v>
          </cell>
          <cell r="H517">
            <v>43992</v>
          </cell>
          <cell r="I517">
            <v>35604</v>
          </cell>
          <cell r="J517">
            <v>41892</v>
          </cell>
          <cell r="K517">
            <v>33904</v>
          </cell>
          <cell r="L517">
            <v>2100</v>
          </cell>
          <cell r="M517">
            <v>1700</v>
          </cell>
          <cell r="N517" t="str">
            <v>01 - 29 MARCH</v>
          </cell>
          <cell r="O517" t="str">
            <v>(NB20260315)_Mar_Sellout Support_RF _Asus_Select</v>
          </cell>
        </row>
        <row r="518">
          <cell r="C518" t="str">
            <v>RF X1607QA-MB049WS</v>
          </cell>
          <cell r="E518" t="str">
            <v>X1607QA-MB049WS</v>
          </cell>
          <cell r="F518" t="str">
            <v>90NB15Z1-M003H0</v>
          </cell>
          <cell r="G518" t="str">
            <v xml:space="preserve">SNAPDRAGON X X1 26100 / LPDDR5X 16G [ON BD.] / 512G PCIE G4 / 16.0-inch / 16" WUXGA ANTI-GLARE NON-TOUCH,300NITS,NTSC:45%,VIPS-NB(MB) /  / 1B-QUIET BLUE / Backlit KB / Win 11 Home / Office Home 2024 &amp; M365 Basic 1 Year / </v>
          </cell>
          <cell r="H518">
            <v>49592</v>
          </cell>
          <cell r="I518">
            <v>40136</v>
          </cell>
          <cell r="J518">
            <v>41892</v>
          </cell>
          <cell r="K518">
            <v>33904</v>
          </cell>
          <cell r="L518">
            <v>7700</v>
          </cell>
          <cell r="M518">
            <v>6232</v>
          </cell>
          <cell r="N518" t="str">
            <v>01 - 29 MARCH</v>
          </cell>
          <cell r="O518" t="str">
            <v>(NB20260315)_Mar_Sellout Support_RF _Asus_Select</v>
          </cell>
        </row>
        <row r="519">
          <cell r="C519" t="str">
            <v>RF X1607QA-MB050WS</v>
          </cell>
          <cell r="E519" t="str">
            <v>X1607QA-MB050WS</v>
          </cell>
          <cell r="F519" t="str">
            <v>90NB15Z2-M005U0</v>
          </cell>
          <cell r="G519" t="str">
            <v xml:space="preserve">SNAPDRAGON X X1 26100 / LPDDR5X 16G [ON BD.] / 512G PCIE G4 / 16.0-inch / 16" WUXGA ANTI-GLARE NON-TOUCH,300NITS,NTSC:45%,VIPS-NB(MB) /  / 1S-COOL SILVER / Backlit KB / Win 11 Home / Office Home 2024 &amp; M365 Basic 1 Year / </v>
          </cell>
          <cell r="H519">
            <v>49592</v>
          </cell>
          <cell r="I519">
            <v>40136</v>
          </cell>
          <cell r="J519">
            <v>41892</v>
          </cell>
          <cell r="K519">
            <v>33904</v>
          </cell>
          <cell r="L519">
            <v>7700</v>
          </cell>
          <cell r="M519">
            <v>6232</v>
          </cell>
          <cell r="N519" t="str">
            <v>01 - 29 MARCH</v>
          </cell>
          <cell r="O519" t="str">
            <v>(NB20260315)_Mar_Sellout Support_RF _Asus_Select</v>
          </cell>
        </row>
        <row r="520">
          <cell r="C520" t="str">
            <v>RF M433UA-EB583TS</v>
          </cell>
          <cell r="E520" t="str">
            <v>M433UA-EB583TS</v>
          </cell>
          <cell r="F520" t="str">
            <v>90NB0TM3-M03550</v>
          </cell>
          <cell r="G520" t="str">
            <v>R5-5500U//8G/1TB PCIe SSD/DREAMY WHITE/14.0"FHD/1Y international warranty//Finger Print/BK KB/</v>
          </cell>
          <cell r="H520">
            <v>46193</v>
          </cell>
          <cell r="I520">
            <v>37385</v>
          </cell>
          <cell r="J520">
            <v>41993</v>
          </cell>
          <cell r="K520">
            <v>33986</v>
          </cell>
          <cell r="L520">
            <v>4200</v>
          </cell>
          <cell r="M520">
            <v>3399</v>
          </cell>
          <cell r="N520" t="str">
            <v>01 - 29 MARCH</v>
          </cell>
          <cell r="O520" t="str">
            <v>(NB20260315)_Mar_Sellout Support_RF _Asus_Select</v>
          </cell>
        </row>
        <row r="521">
          <cell r="C521" t="str">
            <v>RF TP3402ZA-LZ511WS</v>
          </cell>
          <cell r="E521" t="str">
            <v>TP3402ZA-LZ511WS</v>
          </cell>
          <cell r="F521" t="str">
            <v>90NB0WR1-M00170</v>
          </cell>
          <cell r="G521" t="str">
            <v>INTEL I5-12500H / 512G PCIEG3 SSD / DDR4 8G+8G RAM / 14.0 FHD + TOUCH,300NITS,NTSC:45%-NB / QUIET BLUE / Backlit KB / FINGERPRINT / WITH NUMPAD / STYLUS / Win 11 /  / MS Office H&amp;S 2021 / MCAFEE_1Y</v>
          </cell>
          <cell r="H521">
            <v>55993</v>
          </cell>
          <cell r="I521">
            <v>45316</v>
          </cell>
          <cell r="J521">
            <v>41993</v>
          </cell>
          <cell r="K521">
            <v>33986</v>
          </cell>
          <cell r="L521">
            <v>14000</v>
          </cell>
          <cell r="M521">
            <v>11330</v>
          </cell>
          <cell r="N521" t="str">
            <v>01 - 29 MARCH</v>
          </cell>
          <cell r="O521" t="str">
            <v>(NB20260315)_Mar_Sellout Support_RF _Asus_Select</v>
          </cell>
        </row>
        <row r="522">
          <cell r="C522" t="str">
            <v>RF X413EP-EB513TS</v>
          </cell>
          <cell r="E522" t="str">
            <v>X413EP-EB513TS</v>
          </cell>
          <cell r="F522" t="str">
            <v>90NB0S38-M01540</v>
          </cell>
          <cell r="G522" t="str">
            <v>i5-1135G7/MX330/8G/512G PCIe SSD/DREAMY WHITE/14.0"FHD vIPS/1Y international warranty + MacFee/Office H&amp;S/Finger Print/Backlit KB</v>
          </cell>
          <cell r="H522">
            <v>45493</v>
          </cell>
          <cell r="I522">
            <v>36818</v>
          </cell>
          <cell r="J522">
            <v>41993</v>
          </cell>
          <cell r="K522">
            <v>33986</v>
          </cell>
          <cell r="L522">
            <v>3500</v>
          </cell>
          <cell r="M522">
            <v>2832</v>
          </cell>
          <cell r="N522" t="str">
            <v>01 - 29 MARCH</v>
          </cell>
          <cell r="O522" t="str">
            <v>(NB20260315)_Mar_Sellout Support_RF _Asus_Select</v>
          </cell>
        </row>
        <row r="523">
          <cell r="C523" t="str">
            <v>RF X1404VAP-EB1541WS</v>
          </cell>
          <cell r="E523" t="str">
            <v>X1404VAP-EB1541WS</v>
          </cell>
          <cell r="F523" t="str">
            <v>90NB13U2-M00MD0</v>
          </cell>
          <cell r="G523" t="str">
            <v xml:space="preserve">INTEL CORE 5 120U / 16GB DDR5 / 512GB PCIe® 4.0 SSD / 14.0-inch / 14" FHD ANTI-GLARE NON-TOUCH,250NITS,NTSC:45%,VIPS-NB(EB) /  / COOL SILVER /  /  / FingerPrint / Backlit KB / Win 11 Home / OFFICE HOME 2024 (IN)+M365 BASIC / </v>
          </cell>
          <cell r="H523">
            <v>44242.5</v>
          </cell>
          <cell r="I523">
            <v>35806</v>
          </cell>
          <cell r="J523">
            <v>42142.5</v>
          </cell>
          <cell r="K523">
            <v>34107</v>
          </cell>
          <cell r="L523">
            <v>2100</v>
          </cell>
          <cell r="M523">
            <v>1699</v>
          </cell>
          <cell r="N523" t="str">
            <v>01 - 29 MARCH</v>
          </cell>
          <cell r="O523" t="str">
            <v>(NB20260315)_Mar_Sellout Support_RF _Asus_Select</v>
          </cell>
        </row>
        <row r="524">
          <cell r="C524" t="str">
            <v>RF X1404VAP-EB1542WS</v>
          </cell>
          <cell r="E524" t="str">
            <v>X1404VAP-EB1542WS</v>
          </cell>
          <cell r="F524" t="str">
            <v>90NB13U1-M00ME0</v>
          </cell>
          <cell r="G524" t="str">
            <v xml:space="preserve">INTEL CORE 5 120U / 16GB DDR5 / 512GB PCIe® 4.0 SSD / 14.0-inch / 14" FHD ANTI-GLARE NON-TOUCH,250NITS,NTSC:45%,VIPS-NB(EB) /  / Quiet Blue /  /  / FingerPrint / Backlit KB / Win 11 Home / OFFICE HOME 2024 (IN)+M365 BASIC / </v>
          </cell>
          <cell r="H524">
            <v>44242.5</v>
          </cell>
          <cell r="I524">
            <v>35806</v>
          </cell>
          <cell r="J524">
            <v>42142.5</v>
          </cell>
          <cell r="K524">
            <v>34107</v>
          </cell>
          <cell r="L524">
            <v>2100</v>
          </cell>
          <cell r="M524">
            <v>1699</v>
          </cell>
          <cell r="N524" t="str">
            <v>01 - 29 MARCH</v>
          </cell>
          <cell r="O524" t="str">
            <v>(NB20260315)_Mar_Sellout Support_RF _Asus_Select</v>
          </cell>
        </row>
        <row r="525">
          <cell r="C525" t="str">
            <v>RF X1504VAP-BQ1541WS</v>
          </cell>
          <cell r="E525" t="str">
            <v>X1504VAP-BQ1541WS</v>
          </cell>
          <cell r="F525" t="str">
            <v>90NB13Y2-M01PP0</v>
          </cell>
          <cell r="G525" t="str">
            <v xml:space="preserve">INTEL CORE 5 120U / 16GB (8*2) DDR5 / 512GB PCIe® 4.0 SSD / 15.6-inch / 15.6" FHD ANTI-GLARE NON-TOUCH,250NITS,NTSC:45%,VIPS-NB(BQ) /  / COOL SILVER /  /  / FingerPrint / Backlit KB / Win 11 Home / OFFICE HOME 2024 (IN)+M365 BASIC / </v>
          </cell>
          <cell r="H525">
            <v>44242.5</v>
          </cell>
          <cell r="I525">
            <v>35806</v>
          </cell>
          <cell r="J525">
            <v>42142.5</v>
          </cell>
          <cell r="K525">
            <v>34107</v>
          </cell>
          <cell r="L525">
            <v>2100</v>
          </cell>
          <cell r="M525">
            <v>1699</v>
          </cell>
          <cell r="N525" t="str">
            <v>01 - 29 MARCH</v>
          </cell>
          <cell r="O525" t="str">
            <v>(NB20260315)_Mar_Sellout Support_RF _Asus_Select</v>
          </cell>
        </row>
        <row r="526">
          <cell r="C526" t="str">
            <v>RF X1504VAP-BQ1543WS</v>
          </cell>
          <cell r="E526" t="str">
            <v>X1504VAP-BQ1543WS</v>
          </cell>
          <cell r="F526" t="str">
            <v>90NB13Y3-M01PS0</v>
          </cell>
          <cell r="G526" t="str">
            <v xml:space="preserve">INTEL CORE 5 120U /  /  /  / 16GB (8*2) DDR5 / 512GB PCIe® 4.0 SSD / 15.6-inch / 15.6" FHD ANTI-GLARE NON-TOUCH,250NITS,NTSC:45%,VIPS-NB(BQ) /  / Terra Cotta /  /  / FingerPrint / Backlit KB / Win 11 Home / OFFICE HOME 2024 (IN)+M365 BASIC / </v>
          </cell>
          <cell r="H526">
            <v>44242.5</v>
          </cell>
          <cell r="I526">
            <v>35806</v>
          </cell>
          <cell r="J526">
            <v>42142.5</v>
          </cell>
          <cell r="K526">
            <v>34107</v>
          </cell>
          <cell r="L526">
            <v>2100</v>
          </cell>
          <cell r="M526">
            <v>1699</v>
          </cell>
          <cell r="N526" t="str">
            <v>01 - 29 MARCH</v>
          </cell>
          <cell r="O526" t="str">
            <v>(NB20260315)_Mar_Sellout Support_RF _Asus_Select</v>
          </cell>
        </row>
        <row r="527">
          <cell r="C527" t="str">
            <v>RF X1605VA-MB546WS</v>
          </cell>
          <cell r="E527" t="str">
            <v>X1605VA-MB546WS</v>
          </cell>
          <cell r="F527" t="str">
            <v>90NB10N2-M00LV0</v>
          </cell>
          <cell r="G527" t="str">
            <v xml:space="preserve">Intel® Core™ i5-13500H / 16GB (8*2) DDR4 / 512GB PCIe® 4.0 SSD / 16.0-inch / WUXGA (1920 x 1200) 16:10  /  / Transparent Silver /  /  / FingerPrint / Backlit KB / Win 11 Home / MS Office / </v>
          </cell>
          <cell r="H527">
            <v>47992</v>
          </cell>
          <cell r="I527">
            <v>38841</v>
          </cell>
          <cell r="J527">
            <v>42392</v>
          </cell>
          <cell r="K527">
            <v>34309</v>
          </cell>
          <cell r="L527">
            <v>5600</v>
          </cell>
          <cell r="M527">
            <v>4532</v>
          </cell>
          <cell r="N527" t="str">
            <v>01 - 29 MARCH</v>
          </cell>
          <cell r="O527" t="str">
            <v>(NB20260315)_Mar_Sellout Support_RF _Asus_Select</v>
          </cell>
        </row>
        <row r="528">
          <cell r="C528" t="str">
            <v>RF X1605VA-MB547WS</v>
          </cell>
          <cell r="E528" t="str">
            <v>X1605VA-MB547WS</v>
          </cell>
          <cell r="F528" t="str">
            <v>90NB10N3-M00LW0</v>
          </cell>
          <cell r="G528" t="str">
            <v xml:space="preserve">Intel® Core™ i5-13500H / 16GB (8*2) DDR4 / 512GB PCIe® 4.0 SSD / 16.0-inch / WUXGA (1920 x 1200) 16:10  /  / Indie Black /  /  / FingerPrint / Backlit KB / Win 11 Home / MS Office / </v>
          </cell>
          <cell r="H528">
            <v>47992</v>
          </cell>
          <cell r="I528">
            <v>38841</v>
          </cell>
          <cell r="J528">
            <v>42392</v>
          </cell>
          <cell r="K528">
            <v>34309</v>
          </cell>
          <cell r="L528">
            <v>5600</v>
          </cell>
          <cell r="M528">
            <v>4532</v>
          </cell>
          <cell r="N528" t="str">
            <v>01 - 29 MARCH</v>
          </cell>
          <cell r="O528" t="str">
            <v>(NB20260315)_Mar_Sellout Support_RF _Asus_Select</v>
          </cell>
        </row>
        <row r="529">
          <cell r="C529" t="str">
            <v>RF X1605VA-MB5555WS</v>
          </cell>
          <cell r="E529" t="str">
            <v>X1605VA-MB5555WS</v>
          </cell>
          <cell r="F529" t="str">
            <v>90NB10N3-M01N20</v>
          </cell>
          <cell r="G529" t="str">
            <v xml:space="preserve">INTEL I5-13500H / DDR4 8G+8GB / 512G PCIE G4 / 16.0-inch / 16" WUXGA ANTI-GLARE NON-TOUCH,300NITS,NTSC:45%,VIPS-NB(MB) /  / Indie Black / Backlit KB / Win 11 Home / Office Home 2024 &amp; M365 Basic 1 Year / </v>
          </cell>
          <cell r="H529">
            <v>47992</v>
          </cell>
          <cell r="I529">
            <v>38841</v>
          </cell>
          <cell r="J529">
            <v>42392</v>
          </cell>
          <cell r="K529">
            <v>34309</v>
          </cell>
          <cell r="L529">
            <v>5600</v>
          </cell>
          <cell r="M529">
            <v>4532</v>
          </cell>
          <cell r="N529" t="str">
            <v>01 - 29 MARCH</v>
          </cell>
          <cell r="O529" t="str">
            <v>(NB20260315)_Mar_Sellout Support_RF _Asus_Select</v>
          </cell>
        </row>
        <row r="530">
          <cell r="C530" t="str">
            <v>RF UM5302TA-LX701WS</v>
          </cell>
          <cell r="E530" t="str">
            <v>UM5302TA-LX701WS</v>
          </cell>
          <cell r="F530" t="str">
            <v>90NB0WA1-M004B0</v>
          </cell>
          <cell r="G530" t="str">
            <v>Ryzen™ 7 6800U / AMD Radeon™ Graphics / 16GB LPDDR5 / 1TB PCIe® 4.0 PeRF ormance SSD / 13.3-inch / 2.8K (2880 x 1800) OLED 16:10 aspect ratio / Ponder Blue / NumberPad  / FingerPrint / Backlit Chiclet Keyboard / 1.10 kg / Office Home and Student 2021 included / Windows 11 Home</v>
          </cell>
          <cell r="H530">
            <v>47994</v>
          </cell>
          <cell r="I530">
            <v>38843</v>
          </cell>
          <cell r="J530">
            <v>42394</v>
          </cell>
          <cell r="K530">
            <v>34310</v>
          </cell>
          <cell r="L530">
            <v>5600</v>
          </cell>
          <cell r="M530">
            <v>4533</v>
          </cell>
          <cell r="N530" t="str">
            <v>01 - 29 MARCH</v>
          </cell>
          <cell r="O530" t="str">
            <v>(NB20260315)_Mar_Sellout Support_RF _Asus_Select</v>
          </cell>
        </row>
        <row r="531">
          <cell r="C531" t="str">
            <v>RF UM5302TA-LX702WS</v>
          </cell>
          <cell r="E531" t="str">
            <v>UM5302TA-LX702WS</v>
          </cell>
          <cell r="F531" t="str">
            <v>90NB0WA2-M004A0</v>
          </cell>
          <cell r="G531" t="str">
            <v>Ryzen™ 7 6800U / AMD Radeon™ Graphics / 16GB LPDDR5 / 1TB PCIe® 4.0 PeRF ormance SSD / 13.3-inch / 2.8K (2880 x 1800) OLED 16:10 aspect ratio / Aqua Celadon / NumberPad  / FingerPrint / Backlit Chiclet Keyboard / 1.10 kg / Office Home and Student 2021 included / Windows 11 Home</v>
          </cell>
          <cell r="H531">
            <v>47994</v>
          </cell>
          <cell r="I531">
            <v>38843</v>
          </cell>
          <cell r="J531">
            <v>42394</v>
          </cell>
          <cell r="K531">
            <v>34310</v>
          </cell>
          <cell r="L531">
            <v>5600</v>
          </cell>
          <cell r="M531">
            <v>4533</v>
          </cell>
          <cell r="N531" t="str">
            <v>01 - 29 MARCH</v>
          </cell>
          <cell r="O531" t="str">
            <v>(NB20260315)_Mar_Sellout Support_RF _Asus_Select</v>
          </cell>
        </row>
        <row r="532">
          <cell r="C532" t="str">
            <v>RF UX481FL-HJ143TS</v>
          </cell>
          <cell r="E532" t="str">
            <v>UX481FL-HJ143TS</v>
          </cell>
          <cell r="F532" t="str">
            <v>90NB0P61-M06750</v>
          </cell>
          <cell r="G532" t="str">
            <v>i7-10510U/MX250/16G/1T PCIe SSD/CELESTIAL BLUE/14.0"FHD IPS Touch/1Y international warranty/Office H&amp;S/Sleeve/Soft Stand/Stylus/</v>
          </cell>
          <cell r="H532">
            <v>47994</v>
          </cell>
          <cell r="I532">
            <v>38843</v>
          </cell>
          <cell r="J532">
            <v>42394</v>
          </cell>
          <cell r="K532">
            <v>34310</v>
          </cell>
          <cell r="L532">
            <v>5600</v>
          </cell>
          <cell r="M532">
            <v>4533</v>
          </cell>
          <cell r="N532" t="str">
            <v>01 - 29 MARCH</v>
          </cell>
          <cell r="O532" t="str">
            <v>(NB20260315)_Mar_Sellout Support_RF _Asus_Select</v>
          </cell>
        </row>
        <row r="533">
          <cell r="C533" t="str">
            <v>RF UX482EA-HY777TS</v>
          </cell>
          <cell r="E533" t="str">
            <v>UX482EA-HY777TS</v>
          </cell>
          <cell r="F533" t="str">
            <v>90NB0S41-M01880</v>
          </cell>
          <cell r="G533" t="str">
            <v>i7-1165G7//16G/1T PCIe SSD/CELESTIAL BLUE/14.0"FHD 1W touch panel /1Y international warranty + McAfee/Office H&amp;S/Sleeve/Soft Stand/Stylus</v>
          </cell>
          <cell r="H533">
            <v>47994</v>
          </cell>
          <cell r="I533">
            <v>38843</v>
          </cell>
          <cell r="J533">
            <v>42394</v>
          </cell>
          <cell r="K533">
            <v>34310</v>
          </cell>
          <cell r="L533">
            <v>5600</v>
          </cell>
          <cell r="M533">
            <v>4533</v>
          </cell>
          <cell r="N533" t="str">
            <v>01 - 29 MARCH</v>
          </cell>
          <cell r="O533" t="str">
            <v>(NB20260315)_Mar_Sellout Support_RF _Asus_Select</v>
          </cell>
        </row>
        <row r="534">
          <cell r="C534" t="str">
            <v>RF M1502YA-BQ712WS</v>
          </cell>
          <cell r="E534" t="str">
            <v>M1502YA-BQ712WS</v>
          </cell>
          <cell r="F534" t="str">
            <v>90NB0X22-M01H10</v>
          </cell>
          <cell r="G534" t="str">
            <v xml:space="preserve">AMD R7-5825U / 16GB (8*2) DDR4 / 1TB PCIe® 3.0 SSD / 15.6-inch / 15.6" FHD ANTI-GLARE NON-TOUCH,250NITS,NTSC:45%,VIPS-NB(BQ) /  / COOL SILVER / Backlit KB / Win 11 Home / OFFICE HOME 2024 (IN)+M365 BASIC / </v>
          </cell>
          <cell r="H534">
            <v>43192</v>
          </cell>
          <cell r="I534">
            <v>34956</v>
          </cell>
          <cell r="J534">
            <v>42492</v>
          </cell>
          <cell r="K534">
            <v>34390</v>
          </cell>
          <cell r="L534">
            <v>700</v>
          </cell>
          <cell r="M534">
            <v>566</v>
          </cell>
          <cell r="N534" t="str">
            <v>01 - 29 MARCH</v>
          </cell>
          <cell r="O534" t="str">
            <v>(NB20260315)_Mar_Sellout Support_RF _Asus_Select</v>
          </cell>
        </row>
        <row r="535">
          <cell r="C535" t="str">
            <v>RF S532EQ-BQ701TS</v>
          </cell>
          <cell r="E535" t="str">
            <v>S532EQ-BQ701TS</v>
          </cell>
          <cell r="F535" t="str">
            <v>90NB0T51-M00080</v>
          </cell>
          <cell r="G535" t="str">
            <v>i7-1165G7/MX350/8G/512G PCIe SSD/MOSS GREEN/15.6"FHD IPS/1Y international warranty/Office H&amp;S/MACAFEE/Screen pad 2.0/Face log-in/</v>
          </cell>
          <cell r="H535">
            <v>47394</v>
          </cell>
          <cell r="I535">
            <v>38357</v>
          </cell>
          <cell r="J535">
            <v>42494</v>
          </cell>
          <cell r="K535">
            <v>34391</v>
          </cell>
          <cell r="L535">
            <v>4900</v>
          </cell>
          <cell r="M535">
            <v>3966</v>
          </cell>
          <cell r="N535" t="str">
            <v>01 - 29 MARCH</v>
          </cell>
          <cell r="O535" t="str">
            <v>(NB20260315)_Mar_Sellout Support_RF _Asus_Select</v>
          </cell>
        </row>
        <row r="536">
          <cell r="C536" t="str">
            <v>RF K3605ZF-RP458WS</v>
          </cell>
          <cell r="E536" t="str">
            <v>K3605ZF-RP458WS</v>
          </cell>
          <cell r="F536" t="str">
            <v>90NB11E2-M012L0</v>
          </cell>
          <cell r="G536" t="str">
            <v>i5-12500H/RTX2050 4GB/DDR4 16GB/512GB M.2 NVMe™ PCIe® 4.0 SSD/16.0-inch/WUXGA (1920 x 1200) 16:10 aspect ratio/144Hz refresh rate/Backlit Chiclet Keyboard with Num-key/50WHrs, 3S1P, 3-cell Li-ion/OFFICE HOME 2024 (IN)+M365 BASIC//Cool Silver</v>
          </cell>
          <cell r="H536">
            <v>44793</v>
          </cell>
          <cell r="I536">
            <v>36252</v>
          </cell>
          <cell r="J536">
            <v>42693</v>
          </cell>
          <cell r="K536">
            <v>34552</v>
          </cell>
          <cell r="L536">
            <v>2100</v>
          </cell>
          <cell r="M536">
            <v>1700</v>
          </cell>
          <cell r="N536" t="str">
            <v>01 - 31 MARCH</v>
          </cell>
          <cell r="O536" t="str">
            <v>(NB20260365)_Mar_Top Picks_Sellout Support_RF _Select Store_Creator</v>
          </cell>
        </row>
        <row r="537">
          <cell r="C537" t="str">
            <v>RF K3502ZA-L501WS</v>
          </cell>
          <cell r="E537" t="str">
            <v>K3502ZA-L501WS</v>
          </cell>
          <cell r="F537" t="str">
            <v>90NB0WK1-M003Y0</v>
          </cell>
          <cell r="G537" t="str">
            <v xml:space="preserve">Intel® Core™ i5-12500H / EVO / 16GB DDDR4 / 512GB 4.0 SSD / 15.6-inch / FHD OLED  /  / Neutral Grey / Intel® Evo™ Platform / FingerPrint / 70WHrs battery / Backlit Keyboard /  / MS Office  / </v>
          </cell>
          <cell r="H537">
            <v>49693</v>
          </cell>
          <cell r="I537">
            <v>40218</v>
          </cell>
          <cell r="J537">
            <v>43393</v>
          </cell>
          <cell r="K537">
            <v>35119</v>
          </cell>
          <cell r="L537">
            <v>6300</v>
          </cell>
          <cell r="M537">
            <v>5099</v>
          </cell>
          <cell r="N537" t="str">
            <v>01 - 29 MARCH</v>
          </cell>
          <cell r="O537" t="str">
            <v>(NB20260315)_Mar_Sellout Support_RF _Asus_Select</v>
          </cell>
        </row>
        <row r="538">
          <cell r="C538" t="str">
            <v>RF S3502ZA-L501WS</v>
          </cell>
          <cell r="E538" t="str">
            <v>S3502ZA-L501WS</v>
          </cell>
          <cell r="F538" t="str">
            <v>90NB0WK1-M00A80</v>
          </cell>
          <cell r="G538" t="str">
            <v xml:space="preserve">Intel® Core™ i5-12500H / EVO / 16GB DDDR4 / 512GB 4.0 SSD / 15.6-inch / FHD OLED  /  / Neutral Grey / Intel® Evo™ Platform / FingerPrint / 70WHrs battery / Backlit Keyboard /  / MS Office  / </v>
          </cell>
          <cell r="H538">
            <v>49693</v>
          </cell>
          <cell r="I538">
            <v>40218</v>
          </cell>
          <cell r="J538">
            <v>43393</v>
          </cell>
          <cell r="K538">
            <v>35119</v>
          </cell>
          <cell r="L538">
            <v>6300</v>
          </cell>
          <cell r="M538">
            <v>5099</v>
          </cell>
          <cell r="N538" t="str">
            <v>01 - 29 MARCH</v>
          </cell>
          <cell r="O538" t="str">
            <v>(NB20260315)_Mar_Sellout Support_RF _Asus_Select</v>
          </cell>
        </row>
        <row r="539">
          <cell r="C539" t="str">
            <v>RF TN3402YAB-LZ541WS</v>
          </cell>
          <cell r="E539" t="str">
            <v>TN3402YAB-LZ541WS</v>
          </cell>
          <cell r="F539" t="str">
            <v>90NB1111-M002Z0</v>
          </cell>
          <cell r="G539" t="str">
            <v>AMD Ryzen™ 5 7530U /  /  / 16GB (8*2) DDR4 / 512GB PCIe® 3.0 SSD / 14.0-inch / WUXGA (1920 x 1200) 16:10  /  / Quiet Blue /  /  / FingerPrint / Backlit KB / Win 11 Home / MS Office / Stylus</v>
          </cell>
          <cell r="H539">
            <v>45493</v>
          </cell>
          <cell r="I539">
            <v>36818</v>
          </cell>
          <cell r="J539">
            <v>43393</v>
          </cell>
          <cell r="K539">
            <v>35119</v>
          </cell>
          <cell r="L539">
            <v>2100</v>
          </cell>
          <cell r="M539">
            <v>1699</v>
          </cell>
          <cell r="N539" t="str">
            <v>01 - 29 MARCH</v>
          </cell>
          <cell r="O539" t="str">
            <v>(NB20260315)_Mar_Sellout Support_RF _Asus_Select</v>
          </cell>
        </row>
        <row r="540">
          <cell r="C540" t="str">
            <v>RF UX5401ZA-KM541WS</v>
          </cell>
          <cell r="E540" t="str">
            <v>UX5401ZA-KM541WS</v>
          </cell>
          <cell r="F540" t="str">
            <v>90NB0WM5-M00AW0</v>
          </cell>
          <cell r="G540" t="str">
            <v xml:space="preserve">Intel® Core™ i5-12500H /  /  / 16GB LPDDR4X  / 512GB PCIe® 4.0 SSD / 14.0-inch / 2.8K (2880 x 1800) OLED 16:10  / 90Hz refresh rate / Pine Grey / NumberPad /  / FingerPrint / Backlit KB / Win 11 Home / MS Office / </v>
          </cell>
          <cell r="H540">
            <v>47593</v>
          </cell>
          <cell r="I540">
            <v>38518</v>
          </cell>
          <cell r="J540">
            <v>43393</v>
          </cell>
          <cell r="K540">
            <v>35119</v>
          </cell>
          <cell r="L540">
            <v>4200</v>
          </cell>
          <cell r="M540">
            <v>3399</v>
          </cell>
          <cell r="N540" t="str">
            <v>01 - 29 MARCH</v>
          </cell>
          <cell r="O540" t="str">
            <v>(NB20260315)_Mar_Sellout Support_RF _Asus_Select</v>
          </cell>
        </row>
        <row r="541">
          <cell r="C541" t="str">
            <v>RF FA506NFR-HN259WS</v>
          </cell>
          <cell r="E541" t="str">
            <v>FA506NFR-HN259WS</v>
          </cell>
          <cell r="F541" t="str">
            <v>90NR0JU7-M007V0</v>
          </cell>
          <cell r="G541" t="str">
            <v>R7-7435HS/ RTX2050- 4GB/ 16GB (2 x 8GB)/ 512GB SSD/ 15.6" FHD 144Hz/ Backlit KB- 1 zone RGB/ 48WHrs/ WIN 11/ OFFICE HOME 2024 &amp; M365 BASIC 1 Year/ / McAfee(1 year)/ 2B-GRAPHITE BLACK</v>
          </cell>
          <cell r="H541">
            <v>46492.5</v>
          </cell>
          <cell r="I541">
            <v>37627</v>
          </cell>
          <cell r="J541">
            <v>43492.5</v>
          </cell>
          <cell r="K541">
            <v>35199</v>
          </cell>
          <cell r="L541">
            <v>3000</v>
          </cell>
          <cell r="M541">
            <v>2428</v>
          </cell>
          <cell r="N541" t="str">
            <v>01 - 31 MARCH</v>
          </cell>
          <cell r="O541" t="str">
            <v>(NR260322) Asus Mar Top Picks_Sellout Support_RF _Select Store</v>
          </cell>
        </row>
        <row r="542">
          <cell r="C542" t="str">
            <v>RF FA506NFR-HN259WS</v>
          </cell>
          <cell r="E542" t="str">
            <v>FA506NFR-HN259WS</v>
          </cell>
          <cell r="F542" t="str">
            <v>90NR0JU7-M004S0</v>
          </cell>
          <cell r="G542" t="str">
            <v>R7-7435HS/ RTX2050- 4GB/ 16GB (2 x 8GB)/ 512GB SSD/ 15.6" FHD 144Hz/ Backlit KB- 1 zone RGB/ 48WHrs/ WIN 11/ OFFICE HOME 2024 &amp; M365 BASIC 1 Year/ / McAfee(1 year)/ 2B-GRAPHITE BLACK</v>
          </cell>
          <cell r="H542">
            <v>46492.5</v>
          </cell>
          <cell r="I542">
            <v>37627</v>
          </cell>
          <cell r="J542">
            <v>43492.5</v>
          </cell>
          <cell r="K542">
            <v>35199</v>
          </cell>
          <cell r="L542">
            <v>3000</v>
          </cell>
          <cell r="M542">
            <v>2428</v>
          </cell>
          <cell r="N542" t="str">
            <v>01 - 31 MARCH</v>
          </cell>
          <cell r="O542" t="str">
            <v>(NR260322) Asus Mar Top Picks_Sellout Support_RF _Select Store</v>
          </cell>
        </row>
        <row r="543">
          <cell r="C543" t="str">
            <v>RF E1504FA-BQ3468WS</v>
          </cell>
          <cell r="E543" t="str">
            <v>E1504FA-BQ3468WS</v>
          </cell>
          <cell r="F543" t="str">
            <v>90NB0ZR1-M059F0</v>
          </cell>
          <cell r="G543" t="str">
            <v xml:space="preserve">AMD Ryzen™ 3 30 / 16GB DDR5 / 512GB PCIe® 3.0 SSD / 15.6-inch / 15.6" FHD ANTI-GLARE NON-TOUCH,250NITS,NTSC:45%,VIPS-NB(BQ) /  / Cool Silver /  / Win 11 Home / OFFICE HOME 24(IN)+M365 BASIC / </v>
          </cell>
          <cell r="H543">
            <v>44242.5</v>
          </cell>
          <cell r="I543">
            <v>35806</v>
          </cell>
          <cell r="J543">
            <v>43542.5</v>
          </cell>
          <cell r="K543">
            <v>35240</v>
          </cell>
          <cell r="L543">
            <v>700</v>
          </cell>
          <cell r="M543">
            <v>566</v>
          </cell>
          <cell r="N543" t="str">
            <v>01 - 29 MARCH</v>
          </cell>
          <cell r="O543" t="str">
            <v>(NB20260315)_Mar_Sellout Support_RF _Asus_Select</v>
          </cell>
        </row>
        <row r="544">
          <cell r="C544" t="str">
            <v>RF K3504VA-LK541WS</v>
          </cell>
          <cell r="E544" t="str">
            <v>K3504VA-LK541WS</v>
          </cell>
          <cell r="F544" t="str">
            <v>90NB10A1-M007T0</v>
          </cell>
          <cell r="G544" t="str">
            <v xml:space="preserve">Intel®Core™ i5-1340P /  /  / 16GB (8*2) DDR4 / 512GB PCIe® 4.0 SSD / 15.6-inch / FHD (1920 x 1080) OLED 16:9  /  / Indie Black /  /  / FingerPrint / Backlit KB / Win 11 Home / MS Office / </v>
          </cell>
          <cell r="H544">
            <v>45493</v>
          </cell>
          <cell r="I544">
            <v>36818</v>
          </cell>
          <cell r="J544">
            <v>44093</v>
          </cell>
          <cell r="K544">
            <v>35685</v>
          </cell>
          <cell r="L544">
            <v>1400</v>
          </cell>
          <cell r="M544">
            <v>1133</v>
          </cell>
          <cell r="N544" t="str">
            <v>01 - 29 MARCH</v>
          </cell>
          <cell r="O544" t="str">
            <v>(NB20260315)_Mar_Sellout Support_RF _Asus_Select</v>
          </cell>
        </row>
        <row r="545">
          <cell r="C545" t="str">
            <v>RF K3504VA-LK542WS</v>
          </cell>
          <cell r="E545" t="str">
            <v>K3504VA-LK542WS</v>
          </cell>
          <cell r="F545" t="str">
            <v>90NB10A2-M007U0</v>
          </cell>
          <cell r="G545" t="str">
            <v xml:space="preserve">Intel®Core™ i5-1340P /  /  / 16GB (8*2) DDR4 / 512GB PCIe® 4.0 SSD / 15.6-inch / FHD (1920 x 1080) OLED 16:9  /  / Cool Silver /  /  / FingerPrint / Backlit KB / Win 11 Home / MS Office / </v>
          </cell>
          <cell r="H545">
            <v>45493</v>
          </cell>
          <cell r="I545">
            <v>36818</v>
          </cell>
          <cell r="J545">
            <v>44093</v>
          </cell>
          <cell r="K545">
            <v>35685</v>
          </cell>
          <cell r="L545">
            <v>1400</v>
          </cell>
          <cell r="M545">
            <v>1133</v>
          </cell>
          <cell r="N545" t="str">
            <v>01 - 29 MARCH</v>
          </cell>
          <cell r="O545" t="str">
            <v>(NB20260315)_Mar_Sellout Support_RF _Asus_Select</v>
          </cell>
        </row>
        <row r="546">
          <cell r="C546" t="str">
            <v>RF UX3402ZA-KM531WS</v>
          </cell>
          <cell r="E546" t="str">
            <v>UX3402ZA-KM531WS</v>
          </cell>
          <cell r="F546" t="str">
            <v>90NB0WC1-M00360</v>
          </cell>
          <cell r="G546" t="str">
            <v xml:space="preserve">Intel® Core™ i5-1240P /EVO  / 16GB LPDDR5  / 512GB 4.0 PeRF ormance SSD / 14.0-inch / 2.8K OLED 16:10  / 90Hz refresh rate / Ponder Blue / Intel® Evo™ Platform / FingerPrint / 75WHrs battery / Backlit Keyboard / Sleeve / MS Office  / </v>
          </cell>
          <cell r="H546">
            <v>49693</v>
          </cell>
          <cell r="I546">
            <v>40218</v>
          </cell>
          <cell r="J546">
            <v>44093</v>
          </cell>
          <cell r="K546">
            <v>35685</v>
          </cell>
          <cell r="L546">
            <v>5600</v>
          </cell>
          <cell r="M546">
            <v>4533</v>
          </cell>
          <cell r="N546" t="str">
            <v>01 - 29 MARCH</v>
          </cell>
          <cell r="O546" t="str">
            <v>(NB20260315)_Mar_Sellout Support_RF _Asus_Select</v>
          </cell>
        </row>
        <row r="547">
          <cell r="C547" t="str">
            <v>RF UX434FLC-A6512TS</v>
          </cell>
          <cell r="E547" t="str">
            <v>UX434FLC-A6512TS</v>
          </cell>
          <cell r="F547" t="str">
            <v>90NB0MP1-M11820</v>
          </cell>
          <cell r="G547" t="str">
            <v>i7-10510U/MX250/16G/1T PCIe SSD/ROYAL BLUE/14.0"FHD IPS/1Y international warranty/Office H&amp;S/SCREENPAD/Zenbook Sleeve/USB to LAN/</v>
          </cell>
          <cell r="H547">
            <v>49794</v>
          </cell>
          <cell r="I547">
            <v>40299</v>
          </cell>
          <cell r="J547">
            <v>44194</v>
          </cell>
          <cell r="K547">
            <v>35767</v>
          </cell>
          <cell r="L547">
            <v>5600</v>
          </cell>
          <cell r="M547">
            <v>4532</v>
          </cell>
          <cell r="N547" t="str">
            <v>01 - 29 MARCH</v>
          </cell>
          <cell r="O547" t="str">
            <v>(NB20260315)_Mar_Sellout Support_RF _Asus_Select</v>
          </cell>
        </row>
        <row r="548">
          <cell r="C548" t="str">
            <v>RF M1405YA-KM741WS</v>
          </cell>
          <cell r="E548" t="str">
            <v>M1405YA-KM741WS</v>
          </cell>
          <cell r="F548" t="str">
            <v>90NB10S1-M001U0</v>
          </cell>
          <cell r="G548" t="str">
            <v xml:space="preserve">AMD Ryzen™ 7 7730U /  /  / 16GB (8*2) DDR4 / 512GB PCIe® 3.0 SSD / 14.0-inch / 2.8K (2880 x 1800) OLED 16:10  /  / Indie Black /  /  / FingerPrint / Backlit KB / Win 11 Home / MS Office / </v>
          </cell>
          <cell r="H548">
            <v>46392</v>
          </cell>
          <cell r="I548">
            <v>37546</v>
          </cell>
          <cell r="J548">
            <v>44292</v>
          </cell>
          <cell r="K548">
            <v>35846</v>
          </cell>
          <cell r="L548">
            <v>2100</v>
          </cell>
          <cell r="M548">
            <v>1700</v>
          </cell>
          <cell r="N548" t="str">
            <v>01 - 29 MARCH</v>
          </cell>
          <cell r="O548" t="str">
            <v>(NB20260315)_Mar_Sellout Support_RF _Asus_Select</v>
          </cell>
        </row>
        <row r="549">
          <cell r="C549" t="str">
            <v>RF K3502ZA-L503WS</v>
          </cell>
          <cell r="E549" t="str">
            <v>K3502ZA-L503WS</v>
          </cell>
          <cell r="F549" t="str">
            <v>90NB0WK3-M00400</v>
          </cell>
          <cell r="G549" t="str">
            <v xml:space="preserve">Intel® Core™ i5-12500H / EVO / 16GB DDDR4 / 512GB 4.0 SSD / 15.6-inch / FHD OLED  /  / Brave Green / Intel® Evo™ Platform / FingerPrint / 70WHrs battery / Backlit Keyboard /  / MS Office  / </v>
          </cell>
          <cell r="H549">
            <v>49693</v>
          </cell>
          <cell r="I549">
            <v>40218</v>
          </cell>
          <cell r="J549">
            <v>44723</v>
          </cell>
          <cell r="K549">
            <v>36195</v>
          </cell>
          <cell r="L549">
            <v>4970</v>
          </cell>
          <cell r="M549">
            <v>4023</v>
          </cell>
          <cell r="N549" t="str">
            <v>01 - 29 MARCH</v>
          </cell>
          <cell r="O549" t="str">
            <v>(NB20260315)_Mar_Sellout Support_RF _Asus_Select</v>
          </cell>
        </row>
        <row r="550">
          <cell r="C550" t="str">
            <v>RF S3402ZA-KM501WS</v>
          </cell>
          <cell r="E550" t="str">
            <v>S3402ZA-KM501WS</v>
          </cell>
          <cell r="F550" t="str">
            <v>90NB0WE1-M00S20</v>
          </cell>
          <cell r="G550" t="str">
            <v xml:space="preserve">Intel® Core™ i5-12500H / EVO /  /  / 16GB (8*2) DDR4 / 512GB PCIe® 4.0 SSD / 14.0-inch / 2.8K (2880 x 1800) OLED 16:10  / 90Hz refresh rate / Neutral Grey /  /  / FingerPrint / Backlit KB / Win 11 Home / MS Office / </v>
          </cell>
          <cell r="H550">
            <v>49693</v>
          </cell>
          <cell r="I550">
            <v>40218</v>
          </cell>
          <cell r="J550">
            <v>44723</v>
          </cell>
          <cell r="K550">
            <v>36195</v>
          </cell>
          <cell r="L550">
            <v>4970</v>
          </cell>
          <cell r="M550">
            <v>4023</v>
          </cell>
          <cell r="N550" t="str">
            <v>01 - 29 MARCH</v>
          </cell>
          <cell r="O550" t="str">
            <v>(NB20260315)_Mar_Sellout Support_RF _Asus_Select</v>
          </cell>
        </row>
        <row r="551">
          <cell r="C551" t="str">
            <v>RF S3402ZA-KM502WS</v>
          </cell>
          <cell r="E551" t="str">
            <v>S3402ZA-KM502WS</v>
          </cell>
          <cell r="F551" t="str">
            <v>90NB0WE2-M007V0</v>
          </cell>
          <cell r="G551" t="str">
            <v xml:space="preserve">Intel® Core™ i5-12500H / EVO /  /  / 16GB (8*2) DDR4 / 512GB PCIe® 4.0 SSD / 14.0-inch / 2.8K (2880 x 1800) OLED 16:10  / 90Hz refresh rate / Indie Black /  /  / FingerPrint / Backlit KB / Win 11 Home / MS Office / </v>
          </cell>
          <cell r="H551">
            <v>49693</v>
          </cell>
          <cell r="I551">
            <v>40218</v>
          </cell>
          <cell r="J551">
            <v>44723</v>
          </cell>
          <cell r="K551">
            <v>36195</v>
          </cell>
          <cell r="L551">
            <v>4970</v>
          </cell>
          <cell r="M551">
            <v>4023</v>
          </cell>
          <cell r="N551" t="str">
            <v>01 - 29 MARCH</v>
          </cell>
          <cell r="O551" t="str">
            <v>(NB20260315)_Mar_Sellout Support_RF _Asus_Select</v>
          </cell>
        </row>
        <row r="552">
          <cell r="C552" t="str">
            <v>RF S3502ZA-L502WS</v>
          </cell>
          <cell r="E552" t="str">
            <v>S3502ZA-L502WS</v>
          </cell>
          <cell r="F552" t="str">
            <v>90NB0WK2-M00A90</v>
          </cell>
          <cell r="G552" t="str">
            <v xml:space="preserve">Intel® Core™ i5-12500H /EVO  / 16GB DDDR4 / 512GB 4.0 SSD / 15.6-inch / FHD OLED  /  / Indie Black / Intel® Evo™ Platform / FingerPrint / 70WHrs battery / Backlit Keyboard /  / MS Office  / </v>
          </cell>
          <cell r="H552">
            <v>49693</v>
          </cell>
          <cell r="I552">
            <v>40218</v>
          </cell>
          <cell r="J552">
            <v>44723</v>
          </cell>
          <cell r="K552">
            <v>36195</v>
          </cell>
          <cell r="L552">
            <v>4970</v>
          </cell>
          <cell r="M552">
            <v>4023</v>
          </cell>
          <cell r="N552" t="str">
            <v>01 - 29 MARCH</v>
          </cell>
          <cell r="O552" t="str">
            <v>(NB20260315)_Mar_Sellout Support_RF _Asus_Select</v>
          </cell>
        </row>
        <row r="553">
          <cell r="C553" t="str">
            <v>RF FA506NFR-HN045W</v>
          </cell>
          <cell r="E553" t="str">
            <v>FA506NFR-HN045W</v>
          </cell>
          <cell r="F553" t="str">
            <v>90NR0JU7-M00360</v>
          </cell>
          <cell r="G553" t="str">
            <v>R7-7435HS/ RTX2050- 4GB/ 16GB (2 x 8GB)/ 512GB SSD/ 15.6" FHD 144Hz/ Backlit KB- 1 zone RGB/ 48Whr/ WIN 11/ 0/ 0/ McAfee(1 year)/ 2B-GRAPHITE BLACK</v>
          </cell>
          <cell r="H553">
            <v>48792</v>
          </cell>
          <cell r="I553">
            <v>39488</v>
          </cell>
          <cell r="J553">
            <v>44792</v>
          </cell>
          <cell r="K553">
            <v>36251</v>
          </cell>
          <cell r="L553">
            <v>4000</v>
          </cell>
          <cell r="M553">
            <v>3237</v>
          </cell>
          <cell r="N553" t="str">
            <v>01 - 31 MARCH</v>
          </cell>
          <cell r="O553" t="str">
            <v>(NR260322) Asus Mar Top Picks_Sellout Support_RF _Select Store</v>
          </cell>
        </row>
        <row r="554">
          <cell r="C554" t="str">
            <v>RF FA566NFR-HN259W</v>
          </cell>
          <cell r="E554" t="str">
            <v>FA566NFR-HN259W</v>
          </cell>
          <cell r="F554" t="str">
            <v>90NR0JU7-M004R0</v>
          </cell>
          <cell r="G554" t="str">
            <v>R7-7435HS/ RTX2050- 4GB GDDR6/ 16G DDR5/ 512GB PCIe/ 15.6" FHD 144Hz/ Backlit Chiclet Keyboard 1-Zone RGB/ 48WHrs/ Win 11/ / 720P HD camera/ McAfee® 1 year/ 2B-GRAPHITE BLACK</v>
          </cell>
          <cell r="H554">
            <v>48792</v>
          </cell>
          <cell r="I554">
            <v>39488</v>
          </cell>
          <cell r="J554">
            <v>44792</v>
          </cell>
          <cell r="K554">
            <v>36251</v>
          </cell>
          <cell r="L554">
            <v>4000</v>
          </cell>
          <cell r="M554">
            <v>3237</v>
          </cell>
          <cell r="N554" t="str">
            <v>01 - 31 MARCH</v>
          </cell>
          <cell r="O554" t="str">
            <v>(NR260322) Asus Mar Top Picks_Sellout Support_RF _Select Store</v>
          </cell>
        </row>
        <row r="555">
          <cell r="C555" t="str">
            <v>RF UX371EA-HL701TS</v>
          </cell>
          <cell r="E555" t="str">
            <v>UX371EA-HL701TS</v>
          </cell>
          <cell r="F555" t="str">
            <v>90NB0RZ2-M06240</v>
          </cell>
          <cell r="G555" t="str">
            <v>i7-1165G7//16G/1TB PCIEx4(peRF ormance)/JADEBLACK/13.3" 4K UHD OLED IPS TOUCH/1Y international warranty + MacFee/Office H&amp;S /Stylus 2.0/Sleeve/TypeC to Audio Jack/TPM/NUMBER PAD</v>
          </cell>
          <cell r="H555">
            <v>50994</v>
          </cell>
          <cell r="I555">
            <v>41271</v>
          </cell>
          <cell r="J555">
            <v>45044</v>
          </cell>
          <cell r="K555">
            <v>36455</v>
          </cell>
          <cell r="L555">
            <v>5950</v>
          </cell>
          <cell r="M555">
            <v>4816</v>
          </cell>
          <cell r="N555" t="str">
            <v>01 - 29 MARCH</v>
          </cell>
          <cell r="O555" t="str">
            <v>(NB20260315)_Mar_Sellout Support_RF _Asus_Select</v>
          </cell>
        </row>
        <row r="556">
          <cell r="C556" t="str">
            <v>RF M1407KA-LY131WS</v>
          </cell>
          <cell r="E556" t="str">
            <v>M1407KA-LY131WS</v>
          </cell>
          <cell r="F556" t="str">
            <v>90NB15H3-M006K0</v>
          </cell>
          <cell r="G556" t="str">
            <v xml:space="preserve">AMD RYZEN AI 5 330 / DDR5 16G[ON BD.] / 512G PCIE G4 / 14.0-inch / 14" WUXGA ANTI-GLARE NON-TOUCH,300NITS,NTSC:45%,VIPS-NB(LY) /  / 1S-COOL SILVER / Backlit KB / Win 11 Home / MS Office 2024 + MSO 365 / </v>
          </cell>
          <cell r="H556">
            <v>52792</v>
          </cell>
          <cell r="I556">
            <v>42726</v>
          </cell>
          <cell r="J556">
            <v>45092</v>
          </cell>
          <cell r="K556">
            <v>36494</v>
          </cell>
          <cell r="L556">
            <v>7700</v>
          </cell>
          <cell r="M556">
            <v>6232</v>
          </cell>
          <cell r="N556" t="str">
            <v>01 - 29 MARCH</v>
          </cell>
          <cell r="O556" t="str">
            <v>(NB20260315)_Mar_Sellout Support_RF _Asus_Select</v>
          </cell>
        </row>
        <row r="557">
          <cell r="C557" t="str">
            <v>RF M1407KA-LY132WS</v>
          </cell>
          <cell r="E557" t="str">
            <v>M1407KA-LY132WS</v>
          </cell>
          <cell r="F557" t="str">
            <v>90NB15H1-M006L0</v>
          </cell>
          <cell r="G557" t="str">
            <v xml:space="preserve">AMD RYZEN AI 5 330 / DDR5 16G[ON BD.] / 512G PCIE G4 / 14.0-inch / 14" WUXGA ANTI-GLARE NON-TOUCH,300NITS,NTSC:45%,VIPS-NB(LY) /  / 1B-QUIET BLUE / Backlit KB / Win 11 Home / MS Office 2024 + MSO 365 / </v>
          </cell>
          <cell r="H557">
            <v>52792</v>
          </cell>
          <cell r="I557">
            <v>42726</v>
          </cell>
          <cell r="J557">
            <v>45092</v>
          </cell>
          <cell r="K557">
            <v>36494</v>
          </cell>
          <cell r="L557">
            <v>7700</v>
          </cell>
          <cell r="M557">
            <v>6232</v>
          </cell>
          <cell r="N557" t="str">
            <v>01 - 29 MARCH</v>
          </cell>
          <cell r="O557" t="str">
            <v>(NB20260315)_Mar_Sellout Support_RF _Asus_Select</v>
          </cell>
        </row>
        <row r="558">
          <cell r="C558" t="str">
            <v>RF X1407QA-LY088WS</v>
          </cell>
          <cell r="E558" t="str">
            <v>X1407QA-LY088WS</v>
          </cell>
          <cell r="F558" t="str">
            <v>90NB1602-M006R0</v>
          </cell>
          <cell r="G558" t="str">
            <v xml:space="preserve">SNAPDRAGON X X126100 / LPDDR5X 16G [ON BD.] / 512G PCIE G4 / 14.0-inch / 14" WQXGA ANTI-GLARE NON-TOUCH,400NITS,sRGB 100%,IPS-NB(KP) /  / 1D-PLATINUM GOLD / Backlit KB / Win 11 Home / MS Office 2024 + MSO 365 / </v>
          </cell>
          <cell r="H558">
            <v>52792</v>
          </cell>
          <cell r="I558">
            <v>42726</v>
          </cell>
          <cell r="J558">
            <v>45092</v>
          </cell>
          <cell r="K558">
            <v>36494</v>
          </cell>
          <cell r="L558">
            <v>7700</v>
          </cell>
          <cell r="M558">
            <v>6232</v>
          </cell>
          <cell r="N558" t="str">
            <v>01 - 29 MARCH</v>
          </cell>
          <cell r="O558" t="str">
            <v>(NB20260315)_Mar_Sellout Support_RF _Asus_Select</v>
          </cell>
        </row>
        <row r="559">
          <cell r="C559" t="str">
            <v>RF X1605ZAC-MB740WS</v>
          </cell>
          <cell r="E559" t="str">
            <v>X1605ZAC-MB740WS</v>
          </cell>
          <cell r="F559" t="str">
            <v>90NB0ZA2-M016X0</v>
          </cell>
          <cell r="G559" t="str">
            <v xml:space="preserve">Intel® Core™ i7-12700H / 16GB DDR4  / 512GB PCIe® 4.0 SSD / 16.0-inch / WUXGA (1920 x 1200) 16:10  /  / Transparent Silver /  /  / FingerPrint / Backlit KB / Win 11 Home / MS Office / </v>
          </cell>
          <cell r="H559">
            <v>52792</v>
          </cell>
          <cell r="I559">
            <v>42726</v>
          </cell>
          <cell r="J559">
            <v>45092</v>
          </cell>
          <cell r="K559">
            <v>36494</v>
          </cell>
          <cell r="L559">
            <v>7700</v>
          </cell>
          <cell r="M559">
            <v>6232</v>
          </cell>
          <cell r="N559" t="str">
            <v>01 - 29 MARCH</v>
          </cell>
          <cell r="O559" t="str">
            <v>(NB20260315)_Mar_Sellout Support_RF _Asus_Select</v>
          </cell>
        </row>
        <row r="560">
          <cell r="C560" t="str">
            <v>RF X1605ZAC-MB741WS</v>
          </cell>
          <cell r="E560" t="str">
            <v>X1605ZAC-MB741WS</v>
          </cell>
          <cell r="F560" t="str">
            <v>90NB0ZA2-M013W0</v>
          </cell>
          <cell r="G560" t="str">
            <v xml:space="preserve">Intel® Core™ i7-12700H / 16GB DDR4  / 512GB PCIe® 4.0 SSD / 16.0-inch / WUXGA (1920 x 1200) 16:10  /  / Transparent Silver /  /  / FingerPrint / Backlit KB / Win 11 Home / MS Office / </v>
          </cell>
          <cell r="H560">
            <v>52792</v>
          </cell>
          <cell r="I560">
            <v>42726</v>
          </cell>
          <cell r="J560">
            <v>45092</v>
          </cell>
          <cell r="K560">
            <v>36494</v>
          </cell>
          <cell r="L560">
            <v>7700</v>
          </cell>
          <cell r="M560">
            <v>6232</v>
          </cell>
          <cell r="N560" t="str">
            <v>01 - 29 MARCH</v>
          </cell>
          <cell r="O560" t="str">
            <v>(NB20260315)_Mar_Sellout Support_RF _Asus_Select</v>
          </cell>
        </row>
        <row r="561">
          <cell r="C561" t="str">
            <v>RF X1605ZAC-MB742WS</v>
          </cell>
          <cell r="E561" t="str">
            <v>X1605ZAC-MB742WS</v>
          </cell>
          <cell r="F561" t="str">
            <v>90NB0ZA3-M013Y0</v>
          </cell>
          <cell r="G561" t="str">
            <v xml:space="preserve">Intel® Core™ i7-12700H / 16GB DDR4  / 512GB PCIe® 4.0 SSD / 16.0-inch / WUXGA (1920 x 1200) 16:10  /  / Indie Black /  /  / FingerPrint / Backlit KB / Win 11 Home / MS Office / </v>
          </cell>
          <cell r="H561">
            <v>52792</v>
          </cell>
          <cell r="I561">
            <v>42726</v>
          </cell>
          <cell r="J561">
            <v>45092</v>
          </cell>
          <cell r="K561">
            <v>36494</v>
          </cell>
          <cell r="L561">
            <v>7700</v>
          </cell>
          <cell r="M561">
            <v>6232</v>
          </cell>
          <cell r="N561" t="str">
            <v>01 - 29 MARCH</v>
          </cell>
          <cell r="O561" t="str">
            <v>(NB20260315)_Mar_Sellout Support_RF _Asus_Select</v>
          </cell>
        </row>
        <row r="562">
          <cell r="C562" t="str">
            <v>RF M3504YA-LK741WS</v>
          </cell>
          <cell r="E562" t="str">
            <v>M3504YA-LK741WS</v>
          </cell>
          <cell r="F562" t="str">
            <v>90NB1181-M005Z0</v>
          </cell>
          <cell r="G562" t="str">
            <v xml:space="preserve">AMD Ryzen™ 7 7730U /  /  / 16GB (8*2) DDR4 / 512GB PCIe® 3.0 SSD / 15.6-inch / FHD (1920 x 1080) OLED 16:9  /  / Indie Black /  /  / FingerPrint / Backlit KB / Win 11 Home / MS Office / </v>
          </cell>
          <cell r="H562">
            <v>49592</v>
          </cell>
          <cell r="I562">
            <v>40136</v>
          </cell>
          <cell r="J562">
            <v>45252</v>
          </cell>
          <cell r="K562">
            <v>36623</v>
          </cell>
          <cell r="L562">
            <v>4340</v>
          </cell>
          <cell r="M562">
            <v>3513</v>
          </cell>
          <cell r="N562" t="str">
            <v>01 - 29 MARCH</v>
          </cell>
          <cell r="O562" t="str">
            <v>(NB20260315)_Mar_Sellout Support_RF _Asus_Select</v>
          </cell>
        </row>
        <row r="563">
          <cell r="C563" t="str">
            <v>RF K3502ZA-L701WS</v>
          </cell>
          <cell r="E563" t="str">
            <v>K3502ZA-L701WS</v>
          </cell>
          <cell r="F563" t="str">
            <v>90NB0WK1-M00410</v>
          </cell>
          <cell r="G563" t="str">
            <v xml:space="preserve">Intel® Core™ i7-12700H /EVO  / 16GB DDDR4 / 512GB 4.0 SSD / 15.6-inch / FHD OLED  /  / Neutral Grey / Intel® Evo™ Platform / FingerPrint / 70WHrs battery / Backlit Keyboard /  / MS Office  / </v>
          </cell>
          <cell r="H563">
            <v>55293</v>
          </cell>
          <cell r="I563">
            <v>44750</v>
          </cell>
          <cell r="J563">
            <v>45493</v>
          </cell>
          <cell r="K563">
            <v>36818</v>
          </cell>
          <cell r="L563">
            <v>9800</v>
          </cell>
          <cell r="M563">
            <v>7932</v>
          </cell>
          <cell r="N563" t="str">
            <v>01 - 29 MARCH</v>
          </cell>
          <cell r="O563" t="str">
            <v>(NB20260315)_Mar_Sellout Support_RF _Asus_Select</v>
          </cell>
        </row>
        <row r="564">
          <cell r="C564" t="str">
            <v>RF UM3402YA-KP551WS</v>
          </cell>
          <cell r="E564" t="str">
            <v>UM3402YA-KP551WS</v>
          </cell>
          <cell r="F564" t="str">
            <v>90NB0W95-M00R90</v>
          </cell>
          <cell r="G564" t="str">
            <v>AMD Ryzen™ 5 7530U /  /  / 16GB LPDDR4X  / 1TB PCIe® 3.0 SSD / 14.0-inch / 2.5K (2560 x 1600) 16:10  / 60Hz refresh rate / JADE BLACK / NumberPad /  / FingerPrint / Backlit KB / Win 11 Home / MS Office / Sleeve</v>
          </cell>
          <cell r="H564">
            <v>52493</v>
          </cell>
          <cell r="I564">
            <v>42484</v>
          </cell>
          <cell r="J564">
            <v>45493</v>
          </cell>
          <cell r="K564">
            <v>36818</v>
          </cell>
          <cell r="L564">
            <v>7000</v>
          </cell>
          <cell r="M564">
            <v>5666</v>
          </cell>
          <cell r="N564" t="str">
            <v>01 - 29 MARCH</v>
          </cell>
          <cell r="O564" t="str">
            <v>(NB20260315)_Mar_Sellout Support_RF _Asus_Select</v>
          </cell>
        </row>
        <row r="565">
          <cell r="C565" t="str">
            <v>RF M3504YA-LK752WS</v>
          </cell>
          <cell r="E565" t="str">
            <v>M3504YA-LK752WS</v>
          </cell>
          <cell r="F565" t="str">
            <v>90NB1182-M00600</v>
          </cell>
          <cell r="G565" t="str">
            <v xml:space="preserve">AMD Ryzen™ 7 7730U /  /  / 16GB (8*2) DDR4 / 1TB PCIe® 3.0 SSD / 15.6-inch / FHD (1920 x 1080) OLED 16:9  /  / Cool Silver /  /  / FingerPrint / Backlit KB / Win 11 Home / MS Office / </v>
          </cell>
          <cell r="H565">
            <v>52792</v>
          </cell>
          <cell r="I565">
            <v>42726</v>
          </cell>
          <cell r="J565">
            <v>45792</v>
          </cell>
          <cell r="K565">
            <v>37060</v>
          </cell>
          <cell r="L565">
            <v>7000</v>
          </cell>
          <cell r="M565">
            <v>5666</v>
          </cell>
          <cell r="N565" t="str">
            <v>01 - 29 MARCH</v>
          </cell>
          <cell r="O565" t="str">
            <v>(NB20260315)_Mar_Sellout Support_RF _Asus_Select</v>
          </cell>
        </row>
        <row r="566">
          <cell r="C566" t="str">
            <v>RF M1502NAQ-BQ118WS</v>
          </cell>
          <cell r="E566" t="str">
            <v>M1502NAQ-BQ118WS</v>
          </cell>
          <cell r="F566" t="str">
            <v>90NB1841-M006D0</v>
          </cell>
          <cell r="G566" t="str">
            <v xml:space="preserve">AMD Ryzen™ 5 150 / 16GB (8*2) DDR4 / 512GB PCIe® 3.0 SSD / 15.6-inch / 15.6" FHD ANTI-GLARE NON-TOUCH,250NITS,NTSC:45%,VIPS-NB(BQ) /  / QUIET BLUE /  /  / FingerPrint / Backlit KB / Win 11 Home / OFFICE HOME 2024 (IN)+M365 BASIC / </v>
          </cell>
          <cell r="H566">
            <v>47242.5</v>
          </cell>
          <cell r="I566">
            <v>38234</v>
          </cell>
          <cell r="J566">
            <v>45842.5</v>
          </cell>
          <cell r="K566">
            <v>37101</v>
          </cell>
          <cell r="L566">
            <v>1400</v>
          </cell>
          <cell r="M566">
            <v>1133</v>
          </cell>
          <cell r="N566" t="str">
            <v>01 - 29 MARCH</v>
          </cell>
          <cell r="O566" t="str">
            <v>(NB20260315)_Mar_Sellout Support_RF _Asus_Select</v>
          </cell>
        </row>
        <row r="567">
          <cell r="C567" t="str">
            <v>RF M1502NAQ-BQ119WS</v>
          </cell>
          <cell r="E567" t="str">
            <v>M1502NAQ-BQ119WS</v>
          </cell>
          <cell r="F567" t="str">
            <v>90NB1842-M006E0</v>
          </cell>
          <cell r="G567" t="str">
            <v xml:space="preserve">AMD Ryzen™ 5 150 / 16GB (8*2) DDR4 / 512GB PCIe® 3.0 SSD / 15.6-inch / 15.6" FHD ANTI-GLARE NON-TOUCH,250NITS,NTSC:45%,VIPS-NB(BQ) /  / COOL SILVER /  /  / FingerPrint / Backlit KB / Win 11 Home / OFFICE HOME 2024 (IN)+M365 BASIC / </v>
          </cell>
          <cell r="H567">
            <v>47242.5</v>
          </cell>
          <cell r="I567">
            <v>38234</v>
          </cell>
          <cell r="J567">
            <v>45842.5</v>
          </cell>
          <cell r="K567">
            <v>37101</v>
          </cell>
          <cell r="L567">
            <v>1400</v>
          </cell>
          <cell r="M567">
            <v>1133</v>
          </cell>
          <cell r="N567" t="str">
            <v>01 - 29 MARCH</v>
          </cell>
          <cell r="O567" t="str">
            <v>(NB20260315)_Mar_Sellout Support_RF _Asus_Select</v>
          </cell>
        </row>
        <row r="568">
          <cell r="C568" t="str">
            <v>RF X1505VAU-LK543WS</v>
          </cell>
          <cell r="E568" t="str">
            <v>X1505VAU-LK543WS</v>
          </cell>
          <cell r="F568" t="str">
            <v>90NB10P1-M00AD0</v>
          </cell>
          <cell r="G568" t="str">
            <v xml:space="preserve">Intel®Core™ i5-1335U /  /  / 16GB (8*2) DDR4 / 512GB PCIe® 4.0 SSD / 15.6-inch / FHD (1920 x 1080) OLED 16:9  /  / Indie Black /  /  / FingerPrint / Backlit KB / Win 11 Home / MS Office / </v>
          </cell>
          <cell r="H568">
            <v>50392</v>
          </cell>
          <cell r="I568">
            <v>40783</v>
          </cell>
          <cell r="J568">
            <v>45982</v>
          </cell>
          <cell r="K568">
            <v>37214</v>
          </cell>
          <cell r="L568">
            <v>4410</v>
          </cell>
          <cell r="M568">
            <v>3569</v>
          </cell>
          <cell r="N568" t="str">
            <v>01 - 29 MARCH</v>
          </cell>
          <cell r="O568" t="str">
            <v>(NB20260315)_Mar_Sellout Support_RF _Asus_Select</v>
          </cell>
        </row>
        <row r="569">
          <cell r="C569" t="str">
            <v>RF X1505VAU-LK544WS</v>
          </cell>
          <cell r="E569" t="str">
            <v>X1505VAU-LK544WS</v>
          </cell>
          <cell r="F569" t="str">
            <v>90NB10P2-M00AE0</v>
          </cell>
          <cell r="G569" t="str">
            <v xml:space="preserve">Intel®Core™ i5-1335U /  /  / 16GB (8*2) DDR4 / 512GB PCIe® 4.0 SSD / 15.6-inch / FHD (1920 x 1080) OLED 16:9  /  / Transparent Silver /  /  / FingerPrint / Backlit KB / Win 11 Home / MS Office / </v>
          </cell>
          <cell r="H569">
            <v>50392</v>
          </cell>
          <cell r="I569">
            <v>40783</v>
          </cell>
          <cell r="J569">
            <v>45982</v>
          </cell>
          <cell r="K569">
            <v>37214</v>
          </cell>
          <cell r="L569">
            <v>4410</v>
          </cell>
          <cell r="M569">
            <v>3569</v>
          </cell>
          <cell r="N569" t="str">
            <v>01 - 29 MARCH</v>
          </cell>
          <cell r="O569" t="str">
            <v>(NB20260315)_Mar_Sellout Support_RF _Asus_Select</v>
          </cell>
        </row>
        <row r="570">
          <cell r="C570" t="str">
            <v>RF S3407VA-LY033WS</v>
          </cell>
          <cell r="E570" t="str">
            <v>S3407VA-LY033WS</v>
          </cell>
          <cell r="F570" t="str">
            <v>90NB1681-M001E0</v>
          </cell>
          <cell r="G570" t="str">
            <v xml:space="preserve">INTEL I5-13420H / DDR5 8G+8G[ON BD.] / 512GB PCIe® 4.0 SSD / 14.0-inch / 14" WUXGA ANTI-GLARE NON-TOUCH,300NITS,NTSC:45%,VIPS-NB(LY) /  / 2S-COOL SILVER / Backlit KB / Win 11 Home / MS Office 2024 + MSO 365 / </v>
          </cell>
          <cell r="H570">
            <v>48792</v>
          </cell>
          <cell r="I570">
            <v>39488</v>
          </cell>
          <cell r="J570">
            <v>45992</v>
          </cell>
          <cell r="K570">
            <v>37222</v>
          </cell>
          <cell r="L570">
            <v>2800</v>
          </cell>
          <cell r="M570">
            <v>2266</v>
          </cell>
          <cell r="N570" t="str">
            <v>01 - 29 MARCH</v>
          </cell>
          <cell r="O570" t="str">
            <v>(NB20260315)_Mar_Sellout Support_RF _Asus_Select</v>
          </cell>
        </row>
        <row r="571">
          <cell r="C571" t="str">
            <v>RF S3407VA-LY037WS</v>
          </cell>
          <cell r="E571" t="str">
            <v>S3407VA-LY037WS</v>
          </cell>
          <cell r="F571" t="str">
            <v>90NB1682-M00250</v>
          </cell>
          <cell r="G571" t="str">
            <v xml:space="preserve">INTEL I5-13420H / DDR5 8G+8G[ON BD.] / 512GB PCIe® 4.0 SSD / 14.0-inch / 14" WUXGA ANTI-GLARE NON-TOUCH,300NITS,NTSC:45%,VIPS-NB(LY) /  / 2G-MATTE GRAY / Backlit KB / Win 11 Home / MS Office 2024 + MSO 365 / </v>
          </cell>
          <cell r="H571">
            <v>48792</v>
          </cell>
          <cell r="I571">
            <v>39488</v>
          </cell>
          <cell r="J571">
            <v>45992</v>
          </cell>
          <cell r="K571">
            <v>37222</v>
          </cell>
          <cell r="L571">
            <v>2800</v>
          </cell>
          <cell r="M571">
            <v>2266</v>
          </cell>
          <cell r="N571" t="str">
            <v>01 - 29 MARCH</v>
          </cell>
          <cell r="O571" t="str">
            <v>(NB20260315)_Mar_Sellout Support_RF _Asus_Select</v>
          </cell>
        </row>
        <row r="572">
          <cell r="C572" t="str">
            <v>RF UX425JA-BM701TS</v>
          </cell>
          <cell r="E572" t="str">
            <v>UX425JA-BM701TS</v>
          </cell>
          <cell r="F572" t="str">
            <v>90NB0QX1-M07060</v>
          </cell>
          <cell r="G572" t="str">
            <v>i7-1065G1U//16G/512G PCIe SSD/PINE GREY/14.0"FHD IPS/1Y international warranty/Office H&amp;S/NUMPAD/Zenbook Sleeve/USB to LAudio Jack Dongle</v>
          </cell>
          <cell r="H572">
            <v>51594</v>
          </cell>
          <cell r="I572">
            <v>41756</v>
          </cell>
          <cell r="J572">
            <v>45994</v>
          </cell>
          <cell r="K572">
            <v>37224</v>
          </cell>
          <cell r="L572">
            <v>5600</v>
          </cell>
          <cell r="M572">
            <v>4532</v>
          </cell>
          <cell r="N572" t="str">
            <v>01 - 29 MARCH</v>
          </cell>
          <cell r="O572" t="str">
            <v>(NB20260315)_Mar_Sellout Support_RF _Asus_Select</v>
          </cell>
        </row>
        <row r="573">
          <cell r="C573" t="str">
            <v>RF FA566NFR-HN045WS</v>
          </cell>
          <cell r="E573" t="str">
            <v>FA566NFR-HN045WS</v>
          </cell>
          <cell r="F573" t="str">
            <v>90NR0JU7-M004T0</v>
          </cell>
          <cell r="G573" t="str">
            <v>R7-7435HS/ RTX2050- 4GB GDDR6/ 16G DDR5/ 512GB PCIe/ 15.6" FHD 144Hz/ Backlit Chiclet Keyboard 1-Zone RGB/ 48WHrs/ Win 11/ MSO 2021/ 720P HD camera/ McAfee® 1 year/ 2B-GRAPHITE BLACK</v>
          </cell>
          <cell r="H573">
            <v>49592</v>
          </cell>
          <cell r="I573">
            <v>40136</v>
          </cell>
          <cell r="J573">
            <v>46392</v>
          </cell>
          <cell r="K573">
            <v>37546</v>
          </cell>
          <cell r="L573">
            <v>3200</v>
          </cell>
          <cell r="M573">
            <v>2590</v>
          </cell>
          <cell r="N573" t="str">
            <v>01 - 31 MARCH</v>
          </cell>
          <cell r="O573" t="str">
            <v>(NR260322) Asus Mar Top Picks_Sellout Support_RF _Select Store</v>
          </cell>
        </row>
        <row r="574">
          <cell r="C574" t="str">
            <v>RF FA566NFR-HN045WS</v>
          </cell>
          <cell r="E574" t="str">
            <v>FA566NFR-HN045WS</v>
          </cell>
          <cell r="F574" t="str">
            <v>90NR0JU7-M007W0</v>
          </cell>
          <cell r="G574" t="str">
            <v>R7-7435HS/ RTX2050- 4GB GDDR6/ 16G DDR5/ 512GB PCIe/ 15.6" FHD 144Hz/ Backlit Chiclet Keyboard 1-Zone RGB/ 48WHrs/ Win 11/ MSO 2021/ 720P HD camera/ McAfee® 1 year/ 2B-GRAPHITE BLACK</v>
          </cell>
          <cell r="H574">
            <v>49592</v>
          </cell>
          <cell r="I574">
            <v>40136</v>
          </cell>
          <cell r="J574">
            <v>46392</v>
          </cell>
          <cell r="K574">
            <v>37546</v>
          </cell>
          <cell r="L574">
            <v>3200</v>
          </cell>
          <cell r="M574">
            <v>2590</v>
          </cell>
          <cell r="N574" t="str">
            <v>01 - 31 MARCH</v>
          </cell>
          <cell r="O574" t="str">
            <v>(NR260322) Asus Mar Top Picks_Sellout Support_RF _Select Store</v>
          </cell>
        </row>
        <row r="575">
          <cell r="C575" t="str">
            <v>RF UX3402VA-KN541WS</v>
          </cell>
          <cell r="E575" t="str">
            <v>UX3402VA-KN541WS</v>
          </cell>
          <cell r="F575" t="str">
            <v>90NB10G3-M005N0</v>
          </cell>
          <cell r="G575" t="str">
            <v>Intel® Core™ i5-1340P EVO  /  /  / 16GB LPDDR5  / 512GB PCIe® 4.0 PeRF  SSD / 14.0-inch / touch 2.8K (2880 x 1800) OLED 16:10  / 90Hz refresh rate / Ponder Blue / NumberPad /  / FingerPrint / Backlit KB / Win 11 Home / MS Office / Sleeve</v>
          </cell>
          <cell r="H575">
            <v>52493</v>
          </cell>
          <cell r="I575">
            <v>42484</v>
          </cell>
          <cell r="J575">
            <v>46893</v>
          </cell>
          <cell r="K575">
            <v>37952</v>
          </cell>
          <cell r="L575">
            <v>5600</v>
          </cell>
          <cell r="M575">
            <v>4532</v>
          </cell>
          <cell r="N575" t="str">
            <v>01 - 29 MARCH</v>
          </cell>
          <cell r="O575" t="str">
            <v>(NB20260315)_Mar_Sellout Support_RF _Asus_Select</v>
          </cell>
        </row>
        <row r="576">
          <cell r="C576" t="str">
            <v>RF UX3402VA-KN542WS</v>
          </cell>
          <cell r="E576" t="str">
            <v>UX3402VA-KN542WS</v>
          </cell>
          <cell r="F576" t="str">
            <v>90NB10G7-M005S0</v>
          </cell>
          <cell r="G576" t="str">
            <v>Intel® Core™ i5-1340P EVO  /  /  / 16GB LPDDR5  / 512GB PCIe® 4.0 PeRF  SSD / 14.0-inch / touch 2.8K (2880 x 1800) OLED 16:10  / 90Hz refresh rate / Foggy Silver / NumberPad /  / FingerPrint / Backlit KB / Win 11 Home / MS Office / Sleeve</v>
          </cell>
          <cell r="H576">
            <v>52493</v>
          </cell>
          <cell r="I576">
            <v>42484</v>
          </cell>
          <cell r="J576">
            <v>46893</v>
          </cell>
          <cell r="K576">
            <v>37952</v>
          </cell>
          <cell r="L576">
            <v>5600</v>
          </cell>
          <cell r="M576">
            <v>4532</v>
          </cell>
          <cell r="N576" t="str">
            <v>01 - 29 MARCH</v>
          </cell>
          <cell r="O576" t="str">
            <v>(NB20260315)_Mar_Sellout Support_RF _Asus_Select</v>
          </cell>
        </row>
        <row r="577">
          <cell r="C577" t="str">
            <v>RF X1605VA-MB946WS</v>
          </cell>
          <cell r="E577" t="str">
            <v>X1605VA-MB946WS</v>
          </cell>
          <cell r="F577" t="str">
            <v>90NB10N2-M00LR0</v>
          </cell>
          <cell r="G577" t="str">
            <v xml:space="preserve">Intel® Core™ i9-13900H /  /  / 16GB (8*2) DDR4 / 512GB PCIe® 4.0 SSD / 16.0-inch / WUXGA (1920 x 1200) 16:10  /  / Transparent Silver /  /  / FingerPrint / Backlit KB / Win 11 Home / MS Office / </v>
          </cell>
          <cell r="H577">
            <v>52493</v>
          </cell>
          <cell r="I577">
            <v>42484</v>
          </cell>
          <cell r="J577">
            <v>46893</v>
          </cell>
          <cell r="K577">
            <v>37952</v>
          </cell>
          <cell r="L577">
            <v>5600</v>
          </cell>
          <cell r="M577">
            <v>4532</v>
          </cell>
          <cell r="N577" t="str">
            <v>01 - 29 MARCH</v>
          </cell>
          <cell r="O577" t="str">
            <v>(NB20260315)_Mar_Sellout Support_RF _Asus_Select</v>
          </cell>
        </row>
        <row r="578">
          <cell r="C578" t="str">
            <v>RF X1605VA-MB947WS</v>
          </cell>
          <cell r="E578" t="str">
            <v>X1605VA-MB947WS</v>
          </cell>
          <cell r="F578" t="str">
            <v>90NB10N3-M00LS0</v>
          </cell>
          <cell r="G578" t="str">
            <v xml:space="preserve">Intel® Core™ i9-13900H /  /  / 16GB (8*2) DDR4 / 512GB PCIe® 4.0 SSD / 16.0-inch / WUXGA (1920 x 1200) 16:10  /  / Indie Black /  /  / FingerPrint / Backlit KB / Win 11 Home / MS Office / </v>
          </cell>
          <cell r="H578">
            <v>52493</v>
          </cell>
          <cell r="I578">
            <v>42484</v>
          </cell>
          <cell r="J578">
            <v>46893</v>
          </cell>
          <cell r="K578">
            <v>37952</v>
          </cell>
          <cell r="L578">
            <v>5600</v>
          </cell>
          <cell r="M578">
            <v>4532</v>
          </cell>
          <cell r="N578" t="str">
            <v>01 - 29 MARCH</v>
          </cell>
          <cell r="O578" t="str">
            <v>(NB20260315)_Mar_Sellout Support_RF _Asus_Select</v>
          </cell>
        </row>
        <row r="579">
          <cell r="C579" t="str">
            <v>RF X1605VA-MB9946WS</v>
          </cell>
          <cell r="E579" t="str">
            <v>X1605VA-MB9946WS</v>
          </cell>
          <cell r="F579" t="str">
            <v>90NB10N2-M01ML0</v>
          </cell>
          <cell r="G579" t="str">
            <v xml:space="preserve">Intel® Core™ i9-13900H / 16GB (8*2) DDR4 / 512GB PCIe® 4.0 SSD / 16.0-inch / WUXGA (1920 x 1200) 16:10  /  / Transparent Silver /  /  / FingerPrint / Backlit KB / Win 11 Home / Office Home 2024 &amp; M365 Basic 1 Year / </v>
          </cell>
          <cell r="H579">
            <v>52493</v>
          </cell>
          <cell r="I579">
            <v>42484</v>
          </cell>
          <cell r="J579">
            <v>46893</v>
          </cell>
          <cell r="K579">
            <v>37952</v>
          </cell>
          <cell r="L579">
            <v>5600</v>
          </cell>
          <cell r="M579">
            <v>4532</v>
          </cell>
          <cell r="N579" t="str">
            <v>01 - 29 MARCH</v>
          </cell>
          <cell r="O579" t="str">
            <v>(NB20260315)_Mar_Sellout Support_RF _Asus_Select</v>
          </cell>
        </row>
        <row r="580">
          <cell r="C580" t="str">
            <v>RF X1605VA-MB9947WS</v>
          </cell>
          <cell r="E580" t="str">
            <v>X1605VA-MB9947WS</v>
          </cell>
          <cell r="F580" t="str">
            <v>90NB10N3-M01MM0</v>
          </cell>
          <cell r="G580" t="str">
            <v xml:space="preserve">Intel® Core™ i9-13900H / 16GB (8*2) DDR4 / 512GB PCIe® 4.0 SSD / 16.0-inch / WUXGA (1920 x 1200) 16:10  /  / Indie Black /  /  / FingerPrint / Backlit KB / Win 11 Home / Office Home 2024 &amp; M365 Basic 1 Year / </v>
          </cell>
          <cell r="H580">
            <v>52493</v>
          </cell>
          <cell r="I580">
            <v>42484</v>
          </cell>
          <cell r="J580">
            <v>46893</v>
          </cell>
          <cell r="K580">
            <v>37952</v>
          </cell>
          <cell r="L580">
            <v>5600</v>
          </cell>
          <cell r="M580">
            <v>4532</v>
          </cell>
          <cell r="N580" t="str">
            <v>01 - 29 MARCH</v>
          </cell>
          <cell r="O580" t="str">
            <v>(NB20260315)_Mar_Sellout Support_RF _Asus_Select</v>
          </cell>
        </row>
        <row r="581">
          <cell r="C581" t="str">
            <v>RF X1502ZA-EJ741WS</v>
          </cell>
          <cell r="E581" t="str">
            <v>X1502ZA-EJ741WS</v>
          </cell>
          <cell r="F581" t="str">
            <v>90NB0VX1-M022L0</v>
          </cell>
          <cell r="G581" t="str">
            <v xml:space="preserve">Intel® Core™ i7-12650H /  /  / 16GB (8*2) DDR4 / 512GB PCIe® 3.0 SSD / 15.6-inch / FHD (1920 x 1080) 16:9  /  / Quiet Blue / Backlit KB / Win 11 Home / MS Office / </v>
          </cell>
          <cell r="H581">
            <v>51992</v>
          </cell>
          <cell r="I581">
            <v>42078</v>
          </cell>
          <cell r="J581">
            <v>47092</v>
          </cell>
          <cell r="K581">
            <v>38113</v>
          </cell>
          <cell r="L581">
            <v>4900</v>
          </cell>
          <cell r="M581">
            <v>3965</v>
          </cell>
          <cell r="N581" t="str">
            <v>01 - 29 MARCH</v>
          </cell>
          <cell r="O581" t="str">
            <v>(NB20260315)_Mar_Sellout Support_RF _Asus_Select</v>
          </cell>
        </row>
        <row r="582">
          <cell r="C582" t="str">
            <v>RF X1502ZA-EJ742WS</v>
          </cell>
          <cell r="E582" t="str">
            <v>X1502ZA-EJ742WS</v>
          </cell>
          <cell r="F582" t="str">
            <v>90NB0VX2-M022J0</v>
          </cell>
          <cell r="G582" t="str">
            <v xml:space="preserve">Intel®Core™ i7-12650H 16GB (8*2) DDR4 / 512GB PCIe® 3.0 SSD / 15.6-inch / FHD (1920 x 1080) 16:9  /  / Icelight Silver / Backlit KB / Win 11 Home / MS Office / </v>
          </cell>
          <cell r="H582">
            <v>51992</v>
          </cell>
          <cell r="I582">
            <v>42078</v>
          </cell>
          <cell r="J582">
            <v>47092</v>
          </cell>
          <cell r="K582">
            <v>38113</v>
          </cell>
          <cell r="L582">
            <v>4900</v>
          </cell>
          <cell r="M582">
            <v>3965</v>
          </cell>
          <cell r="N582" t="str">
            <v>01 - 29 MARCH</v>
          </cell>
          <cell r="O582" t="str">
            <v>(NB20260315)_Mar_Sellout Support_RF _Asus_Select</v>
          </cell>
        </row>
        <row r="583">
          <cell r="C583" t="str">
            <v>RF X1502ZA-EJ744WS</v>
          </cell>
          <cell r="E583" t="str">
            <v>X1502ZA-EJ744WS</v>
          </cell>
          <cell r="F583" t="str">
            <v>90NB0VX1-M02MD0</v>
          </cell>
          <cell r="G583" t="str">
            <v xml:space="preserve">Intel® Core™ i7-12700H / 16GB (8*2) DDR4 / 512GB PCIe® 4.0 SSD / 15.6-inch / FHD (1920 x 1080) 16:9  /  / Quiet Blue / Backlit KB / Win 11 Home / MS Office / </v>
          </cell>
          <cell r="H583">
            <v>51992</v>
          </cell>
          <cell r="I583">
            <v>42078</v>
          </cell>
          <cell r="J583">
            <v>47092</v>
          </cell>
          <cell r="K583">
            <v>38113</v>
          </cell>
          <cell r="L583">
            <v>4900</v>
          </cell>
          <cell r="M583">
            <v>3965</v>
          </cell>
          <cell r="N583" t="str">
            <v>01 - 29 MARCH</v>
          </cell>
          <cell r="O583" t="str">
            <v>(NB20260315)_Mar_Sellout Support_RF _Asus_Select</v>
          </cell>
        </row>
        <row r="584">
          <cell r="C584" t="str">
            <v>RF X1502ZA-EJ745WS</v>
          </cell>
          <cell r="E584" t="str">
            <v>X1502ZA-EJ745WS</v>
          </cell>
          <cell r="F584" t="str">
            <v>90NB0VX2-M02ME0</v>
          </cell>
          <cell r="G584" t="str">
            <v xml:space="preserve">Intel® Core™ i7-12700H / 16GB (8*2) DDR4 / 512GB PCIe® 4.0 SSD / 15.6-inch / FHD (1920 x 1080) 16:9  /  / Icelight Silver / Backlit KB / Win 11 Home / MS Office / </v>
          </cell>
          <cell r="H584">
            <v>51992</v>
          </cell>
          <cell r="I584">
            <v>42078</v>
          </cell>
          <cell r="J584">
            <v>47092</v>
          </cell>
          <cell r="K584">
            <v>38113</v>
          </cell>
          <cell r="L584">
            <v>4900</v>
          </cell>
          <cell r="M584">
            <v>3965</v>
          </cell>
          <cell r="N584" t="str">
            <v>01 - 29 MARCH</v>
          </cell>
          <cell r="O584" t="str">
            <v>(NB20260315)_Mar_Sellout Support_RF _Asus_Select</v>
          </cell>
        </row>
        <row r="585">
          <cell r="C585" t="str">
            <v>RF X1605VA-MB1627WS</v>
          </cell>
          <cell r="E585" t="str">
            <v>X1605VA-MB1627WS</v>
          </cell>
          <cell r="F585" t="str">
            <v>90NB10N2-M021S0</v>
          </cell>
          <cell r="G585" t="str">
            <v xml:space="preserve">INTEL I5-13420H / DDR4 8G+8GB / 512G PCIE G4 / 16.0-inch / 16" WUXGA ANTI-GLARE NON-TOUCH,300NITS,NTSC:45%,VIPS-NB(MB) /  / 1S-TRANSPARENT SILVER / Backlit KB / Win 11 Home / Office Home 2024 &amp; M365 Basic 1 Year / </v>
          </cell>
          <cell r="H585">
            <v>47992</v>
          </cell>
          <cell r="I585">
            <v>38841</v>
          </cell>
          <cell r="J585">
            <v>47292</v>
          </cell>
          <cell r="K585">
            <v>38274</v>
          </cell>
          <cell r="L585">
            <v>700</v>
          </cell>
          <cell r="M585">
            <v>567</v>
          </cell>
          <cell r="N585" t="str">
            <v>01 - 29 MARCH</v>
          </cell>
          <cell r="O585" t="str">
            <v>(NB20260315)_Mar_Sellout Support_RF _Asus_Select</v>
          </cell>
        </row>
        <row r="586">
          <cell r="C586" t="str">
            <v>RF S3407VA-LY075WS</v>
          </cell>
          <cell r="E586" t="str">
            <v>S3407VA-LY075WS</v>
          </cell>
          <cell r="F586" t="str">
            <v>90NB1681-M00650</v>
          </cell>
          <cell r="G586" t="str">
            <v xml:space="preserve">INTEL CORE 5 210H / DDR5 8G+8G[ON BD.] / 512GB PCIe® 4.0 SSD / 14.0-inch / 14" WUXGA ANTI-GLARE NON-TOUCH,300NITS,NTSC:45%,VIPS-NB(LY) /  / 2S-COOL SILVER / Backlit KB / Win 11 Home / MS Office 2024 + MSO 365 / </v>
          </cell>
          <cell r="H586">
            <v>51992</v>
          </cell>
          <cell r="I586">
            <v>42078</v>
          </cell>
          <cell r="J586">
            <v>47442</v>
          </cell>
          <cell r="K586">
            <v>38396</v>
          </cell>
          <cell r="L586">
            <v>4550</v>
          </cell>
          <cell r="M586">
            <v>3682</v>
          </cell>
          <cell r="N586" t="str">
            <v>01 - 29 MARCH</v>
          </cell>
          <cell r="O586" t="str">
            <v>(NB20260315)_Mar_Sellout Support_RF _Asus_Select</v>
          </cell>
        </row>
        <row r="587">
          <cell r="C587" t="str">
            <v>RF S3407VA-LY080WS</v>
          </cell>
          <cell r="E587" t="str">
            <v>S3407VA-LY080WS</v>
          </cell>
          <cell r="F587" t="str">
            <v>90NB1682-M006K0</v>
          </cell>
          <cell r="G587" t="str">
            <v xml:space="preserve">INTEL CORE 5 210H / DDR5 8G+8G[ON BD.] / 512GB PCIe® 4.0 SSD / 14.0-inch / 14" WUXGA ANTI-GLARE NON-TOUCH,300NITS,NTSC:45%,VIPS-NB(LY) /  / 2G-MATTE GRAY / Backlit KB / Win 11 Home / MS Office 2024 + MSO 365 / </v>
          </cell>
          <cell r="H587">
            <v>51992</v>
          </cell>
          <cell r="I587">
            <v>42078</v>
          </cell>
          <cell r="J587">
            <v>47442</v>
          </cell>
          <cell r="K587">
            <v>38396</v>
          </cell>
          <cell r="L587">
            <v>4550</v>
          </cell>
          <cell r="M587">
            <v>3682</v>
          </cell>
          <cell r="N587" t="str">
            <v>01 - 29 MARCH</v>
          </cell>
          <cell r="O587" t="str">
            <v>(NB20260315)_Mar_Sellout Support_RF _Asus_Select</v>
          </cell>
        </row>
        <row r="588">
          <cell r="C588" t="str">
            <v>RF UM3402YA-KM541WS</v>
          </cell>
          <cell r="E588" t="str">
            <v>UM3402YA-KM541WS</v>
          </cell>
          <cell r="F588" t="str">
            <v>90NB0W95-M00PM0</v>
          </cell>
          <cell r="G588" t="str">
            <v>AMD Ryzen™ 5 7530U /  /  / 16GB LPDDR4X  / 512GB PCIe® 3.0 SSD / 14.0-inch / 2.8K (2880 x 1800) OLED 16:10  / 90Hz refresh rate / JADE BLACK / NumberPad /  / FingerPrint / Backlit KB / Win 11 Home / MS Office / Sleeve</v>
          </cell>
          <cell r="H588">
            <v>52493</v>
          </cell>
          <cell r="I588">
            <v>42484</v>
          </cell>
          <cell r="J588">
            <v>47593</v>
          </cell>
          <cell r="K588">
            <v>38518</v>
          </cell>
          <cell r="L588">
            <v>4900</v>
          </cell>
          <cell r="M588">
            <v>3966</v>
          </cell>
          <cell r="N588" t="str">
            <v>01 - 29 MARCH</v>
          </cell>
          <cell r="O588" t="str">
            <v>(NB20260315)_Mar_Sellout Support_RF _Asus_Select</v>
          </cell>
        </row>
        <row r="589">
          <cell r="C589" t="str">
            <v>RF K3504VAD-MA542WS</v>
          </cell>
          <cell r="E589" t="str">
            <v>K3504VAD-MA542WS</v>
          </cell>
          <cell r="F589" t="str">
            <v>90NB10A2-M00JH0</v>
          </cell>
          <cell r="G589" t="str">
            <v xml:space="preserve">Intel® Core™ i5-1335U / 16GB (8*2) DDR4 / 512GB PCIe® 4.0 SSD / 15.6-inch / 3K (2880 x 1620) OLED 16:9  /  / Cool Silver / Backlit KB / Win 11 Home / MS Office / </v>
          </cell>
          <cell r="H589">
            <v>52792</v>
          </cell>
          <cell r="I589">
            <v>42726</v>
          </cell>
          <cell r="J589">
            <v>48172</v>
          </cell>
          <cell r="K589">
            <v>38987</v>
          </cell>
          <cell r="L589">
            <v>4620</v>
          </cell>
          <cell r="M589">
            <v>3739</v>
          </cell>
          <cell r="N589" t="str">
            <v>01 - 29 MARCH</v>
          </cell>
          <cell r="O589" t="str">
            <v>(NB20260315)_Mar_Sellout Support_RF _Asus_Select</v>
          </cell>
        </row>
        <row r="590">
          <cell r="C590" t="str">
            <v>RF X1505VA-LK541WS</v>
          </cell>
          <cell r="E590" t="str">
            <v>X1505VA-LK541WS</v>
          </cell>
          <cell r="F590" t="str">
            <v>90NB10P1-M006R0</v>
          </cell>
          <cell r="G590" t="str">
            <v xml:space="preserve">Intel®Core™ i5-13500H /  /  / 16GB (8*2) DDR4 / 512GB PCIe® 3.0 SSD / 15.6-inch / FHD (1920 x 1080) OLED 16:9  /  / Indie Black /  /  / FingerPrint / Backlit KB / Win 11 Home / MS Office / </v>
          </cell>
          <cell r="H590">
            <v>55192</v>
          </cell>
          <cell r="I590">
            <v>44668</v>
          </cell>
          <cell r="J590">
            <v>48192</v>
          </cell>
          <cell r="K590">
            <v>39003</v>
          </cell>
          <cell r="L590">
            <v>7000</v>
          </cell>
          <cell r="M590">
            <v>5665</v>
          </cell>
          <cell r="N590" t="str">
            <v>01 - 29 MARCH</v>
          </cell>
          <cell r="O590" t="str">
            <v>(NB20260315)_Mar_Sellout Support_RF _Asus_Select</v>
          </cell>
        </row>
        <row r="591">
          <cell r="C591" t="str">
            <v>RF X1505VA-LK542WS</v>
          </cell>
          <cell r="E591" t="str">
            <v>X1505VA-LK542WS</v>
          </cell>
          <cell r="F591" t="str">
            <v>90NB10P2-M006T0</v>
          </cell>
          <cell r="G591" t="str">
            <v xml:space="preserve">Intel®Core™ i5-13500H /  /  / 16GB (8*2) DDR4 / 512GB PCIe® 3.0 SSD / 15.6-inch / FHD (1920 x 1080) OLED 16:9  /  / Transparent Silver /  /  / FingerPrint / Backlit KB / Win 11 Home / MS Office / </v>
          </cell>
          <cell r="H591">
            <v>55192</v>
          </cell>
          <cell r="I591">
            <v>44668</v>
          </cell>
          <cell r="J591">
            <v>48192</v>
          </cell>
          <cell r="K591">
            <v>39003</v>
          </cell>
          <cell r="L591">
            <v>7000</v>
          </cell>
          <cell r="M591">
            <v>5665</v>
          </cell>
          <cell r="N591" t="str">
            <v>01 - 29 MARCH</v>
          </cell>
          <cell r="O591" t="str">
            <v>(NB20260315)_Mar_Sellout Support_RF _Asus_Select</v>
          </cell>
        </row>
        <row r="592">
          <cell r="C592" t="str">
            <v>RF K3504VA-LK551WS</v>
          </cell>
          <cell r="E592" t="str">
            <v>K3504VA-LK551WS</v>
          </cell>
          <cell r="F592" t="str">
            <v>90NB10A1-M007V0</v>
          </cell>
          <cell r="G592" t="str">
            <v xml:space="preserve">Intel®Core™ i5-1340P /  /  / 16GB (8*2) DDR4 / 1TB PCIe® 3.0 SSD / 15.6-inch / FHD (1920 x 1080) OLED 16:9  /  / Indie Black /  /  / FingerPrint / Backlit KB / Win 11 Home / MS Office / </v>
          </cell>
          <cell r="H592">
            <v>50393</v>
          </cell>
          <cell r="I592">
            <v>40784</v>
          </cell>
          <cell r="J592">
            <v>48293</v>
          </cell>
          <cell r="K592">
            <v>39085</v>
          </cell>
          <cell r="L592">
            <v>2100</v>
          </cell>
          <cell r="M592">
            <v>1699</v>
          </cell>
          <cell r="N592" t="str">
            <v>01 - 29 MARCH</v>
          </cell>
          <cell r="O592" t="str">
            <v>(NB20260315)_Mar_Sellout Support_RF _Asus_Select</v>
          </cell>
        </row>
        <row r="593">
          <cell r="C593" t="str">
            <v>RF K3504VA-LK552WS</v>
          </cell>
          <cell r="E593" t="str">
            <v>K3504VA-LK552WS</v>
          </cell>
          <cell r="F593" t="str">
            <v>90NB10A2-M007W0</v>
          </cell>
          <cell r="G593" t="str">
            <v xml:space="preserve">Intel®Core™ i5-1340P /  /  / 16GB (8*2) DDR4 / 1TB PCIe® 3.0 SSD / 15.6-inch / FHD (1920 x 1080) OLED 16:9  /  / Cool Silver /  /  / FingerPrint / Backlit KB / Win 11 Home / MS Office / </v>
          </cell>
          <cell r="H593">
            <v>50393</v>
          </cell>
          <cell r="I593">
            <v>40784</v>
          </cell>
          <cell r="J593">
            <v>48293</v>
          </cell>
          <cell r="K593">
            <v>39085</v>
          </cell>
          <cell r="L593">
            <v>2100</v>
          </cell>
          <cell r="M593">
            <v>1699</v>
          </cell>
          <cell r="N593" t="str">
            <v>01 - 29 MARCH</v>
          </cell>
          <cell r="O593" t="str">
            <v>(NB20260315)_Mar_Sellout Support_RF _Asus_Select</v>
          </cell>
        </row>
        <row r="594">
          <cell r="C594" t="str">
            <v>RF UX5401ZAS-KN521WS</v>
          </cell>
          <cell r="E594" t="str">
            <v>UX5401ZAS-KN521WS</v>
          </cell>
          <cell r="F594" t="str">
            <v>90NB0WV7-M000A0</v>
          </cell>
          <cell r="G594" t="str">
            <v xml:space="preserve">Intel® Core™ i5-12500H / EVO / 16GB LPDDR5  / 512GB 4.0 PeRF ormance SSD / 14.0-inch / 2.8K OLED 16:10  / 90Hz refresh rate / Zero-G Titanium /  / FingerPrint / 63WHrs battery / Backlit Keyboard / Sleeve / MS Office  / </v>
          </cell>
          <cell r="H594">
            <v>53830</v>
          </cell>
          <cell r="I594">
            <v>43566</v>
          </cell>
          <cell r="J594">
            <v>48446.3</v>
          </cell>
          <cell r="K594">
            <v>39209</v>
          </cell>
          <cell r="L594">
            <v>5383.7000000000007</v>
          </cell>
          <cell r="M594">
            <v>4357</v>
          </cell>
          <cell r="N594" t="str">
            <v>01 - 29 MARCH</v>
          </cell>
          <cell r="O594" t="str">
            <v>(NB20260315)_Mar_Sellout Support_RF _Asus_Select</v>
          </cell>
        </row>
        <row r="595">
          <cell r="C595" t="str">
            <v>RF S3502ZA-L702WS</v>
          </cell>
          <cell r="E595" t="str">
            <v>S3502ZA-L702WS</v>
          </cell>
          <cell r="F595" t="str">
            <v>90NB0WK2-M00AB0</v>
          </cell>
          <cell r="G595" t="str">
            <v xml:space="preserve">Intel® Core™ i7-12700H / EVO / 16GB DDDR4 / 512GB 4.0 SSD / 15.6-inch / FHD OLED  /  / Indie Black / Intel® Evo™ Platform / FingerPrint / 70WHrs battery / Backlit Keyboard /  / MS Office  / </v>
          </cell>
          <cell r="H595">
            <v>55293</v>
          </cell>
          <cell r="I595">
            <v>44750</v>
          </cell>
          <cell r="J595">
            <v>48993</v>
          </cell>
          <cell r="K595">
            <v>39651</v>
          </cell>
          <cell r="L595">
            <v>6300</v>
          </cell>
          <cell r="M595">
            <v>5099</v>
          </cell>
          <cell r="N595" t="str">
            <v>01 - 29 MARCH</v>
          </cell>
          <cell r="O595" t="str">
            <v>(NB20260315)_Mar_Sellout Support_RF _Asus_Select</v>
          </cell>
        </row>
        <row r="596">
          <cell r="C596" t="str">
            <v>RF S5504VA-MA554WS</v>
          </cell>
          <cell r="E596" t="str">
            <v>S5504VA-MA554WS</v>
          </cell>
          <cell r="F596" t="str">
            <v>90NB0ZK4-M00890</v>
          </cell>
          <cell r="G596" t="str">
            <v xml:space="preserve">Intel® Core™ i5-13500H EVO /  /  / 16GB LPDDR5  / 1TB PCIe® 4.0 SSD / 15.6-inch / 2.8K (2880 x 1620) OLED 16:9  /  / Cream White /  /  / FingerPrint / Backlit KB / Win 11 Home / MS Office / </v>
          </cell>
          <cell r="H596">
            <v>56693</v>
          </cell>
          <cell r="I596">
            <v>45883</v>
          </cell>
          <cell r="J596">
            <v>48993</v>
          </cell>
          <cell r="K596">
            <v>39651</v>
          </cell>
          <cell r="L596">
            <v>7700</v>
          </cell>
          <cell r="M596">
            <v>6232</v>
          </cell>
          <cell r="N596" t="str">
            <v>01 - 29 MARCH</v>
          </cell>
          <cell r="O596" t="str">
            <v>(NB20260315)_Mar_Sellout Support_RF _Asus_Select</v>
          </cell>
        </row>
        <row r="597">
          <cell r="C597" t="str">
            <v>RF UM3402YA-KP741WS</v>
          </cell>
          <cell r="E597" t="str">
            <v>UM3402YA-KP741WS</v>
          </cell>
          <cell r="F597" t="str">
            <v>90NB0W95-M00PT0</v>
          </cell>
          <cell r="G597" t="str">
            <v>AMD Ryzen™ 7 7730U /  /  / 16GB LPDDR4X  / 512GB PCIe® 3.0 SSD / 14.0-inch / 2.5K (2560 x 1600) 16:10  / 60Hz refresh rate / JADE BLACK / NumberPad /  / FingerPrint / Backlit KB / Win 11 Home / MS Office / Sleeve</v>
          </cell>
          <cell r="H597">
            <v>55993</v>
          </cell>
          <cell r="I597">
            <v>45316</v>
          </cell>
          <cell r="J597">
            <v>48993</v>
          </cell>
          <cell r="K597">
            <v>39651</v>
          </cell>
          <cell r="L597">
            <v>7000</v>
          </cell>
          <cell r="M597">
            <v>5665</v>
          </cell>
          <cell r="N597" t="str">
            <v>01 - 29 MARCH</v>
          </cell>
          <cell r="O597" t="str">
            <v>(NB20260315)_Mar_Sellout Support_RF _Asus_Select</v>
          </cell>
        </row>
        <row r="598">
          <cell r="C598" t="str">
            <v>RF S3607VA-RP054WS</v>
          </cell>
          <cell r="E598" t="str">
            <v>S3607VA-RP054WS</v>
          </cell>
          <cell r="F598" t="str">
            <v>90NB1672-M00430</v>
          </cell>
          <cell r="G598" t="str">
            <v xml:space="preserve">INTEL I5-13420H / DDR5 8G+8G[ON BD.] / 512GB PCIe® 4.0 SSD / 16.0-inch / 16" WUXGA ANTI-GLARE NON-TOUCH,300NITS,NTSC:45%(144HZ),VIPS-NB(RP) /  / 2G-MATTE GRAY / Backlit KB / Win 11 Home / MS Office 2024 + MSO 365 / </v>
          </cell>
          <cell r="H598">
            <v>52792</v>
          </cell>
          <cell r="I598">
            <v>42726</v>
          </cell>
          <cell r="J598">
            <v>49292</v>
          </cell>
          <cell r="K598">
            <v>39893</v>
          </cell>
          <cell r="L598">
            <v>3500</v>
          </cell>
          <cell r="M598">
            <v>2833</v>
          </cell>
          <cell r="N598" t="str">
            <v>01 - 29 MARCH</v>
          </cell>
          <cell r="O598" t="str">
            <v>(NB20260315)_Mar_Sellout Support_RF _Asus_Select</v>
          </cell>
        </row>
        <row r="599">
          <cell r="C599" t="str">
            <v>RF S3607VA-RP059WS</v>
          </cell>
          <cell r="E599" t="str">
            <v>S3607VA-RP059WS</v>
          </cell>
          <cell r="F599" t="str">
            <v>90NB1671-M004H0</v>
          </cell>
          <cell r="G599" t="str">
            <v xml:space="preserve">INTEL I5-13420H / DDR5 8G+8G[ON BD.] / 512GB PCIe® 4.0 SSD / 16.0-inch / 16" WUXGA ANTI-GLARE NON-TOUCH,300NITS,NTSC:45%(144HZ),VIPS-NB(RP) /  / Cool Silver / Backlit KB / Win 11 Home / MS Office 2024 + MSO 365 / </v>
          </cell>
          <cell r="H599">
            <v>52792</v>
          </cell>
          <cell r="I599">
            <v>42726</v>
          </cell>
          <cell r="J599">
            <v>49292</v>
          </cell>
          <cell r="K599">
            <v>39893</v>
          </cell>
          <cell r="L599">
            <v>3500</v>
          </cell>
          <cell r="M599">
            <v>2833</v>
          </cell>
          <cell r="N599" t="str">
            <v>01 - 29 MARCH</v>
          </cell>
          <cell r="O599" t="str">
            <v>(NB20260315)_Mar_Sellout Support_RF _Asus_Select</v>
          </cell>
        </row>
        <row r="600">
          <cell r="C600" t="str">
            <v>RF K3605VC-RP412W</v>
          </cell>
          <cell r="E600" t="str">
            <v>K3605VC-RP412W</v>
          </cell>
          <cell r="F600" t="str">
            <v>90NB11D1-M00PA0</v>
          </cell>
          <cell r="G600" t="str">
            <v>i5-13420H/RTX3050 4GB/DDR4 16GB/512GB M.2 NVMe™ PCIe® 4.0 SSD/16.0-inch/WUXGA (1920 x 1200) 16:10 aspect ratio/144Hz refresh rate/Backlit Chiclet Keyboard with Num-key/50WHrs, 3S1P, 3-cell Li-ion/X//Black</v>
          </cell>
          <cell r="H600">
            <v>55992</v>
          </cell>
          <cell r="I600">
            <v>45316</v>
          </cell>
          <cell r="J600">
            <v>49592</v>
          </cell>
          <cell r="K600">
            <v>40136</v>
          </cell>
          <cell r="L600">
            <v>6400</v>
          </cell>
          <cell r="M600">
            <v>5180</v>
          </cell>
          <cell r="N600" t="str">
            <v>01 - 15 MARCH</v>
          </cell>
          <cell r="O600" t="str">
            <v>(NB20260350)_Mar_Your Vibe Your Color Your Deal_Sellout Support_RF _Select Store_Creator</v>
          </cell>
        </row>
        <row r="601">
          <cell r="C601" t="str">
            <v>RF K3605VC-RP413W</v>
          </cell>
          <cell r="E601" t="str">
            <v>K3605VC-RP413W</v>
          </cell>
          <cell r="F601" t="str">
            <v>90NB11D2-M00N70</v>
          </cell>
          <cell r="G601" t="str">
            <v>i5-13420H/RTX3050 4GB/DDR4 16GB/512GB M.2 NVMe™ PCIe® 4.0 SSD/16.0-inch/WUXGA (1920 x 1200) 16:10 aspect ratio/144Hz refresh rate/Backlit Chiclet Keyboard with Num-key/50WHrs, 3S1P, 3-cell Li-ion/X//Silver</v>
          </cell>
          <cell r="H601">
            <v>55992</v>
          </cell>
          <cell r="I601">
            <v>45316</v>
          </cell>
          <cell r="J601">
            <v>49592</v>
          </cell>
          <cell r="K601">
            <v>40217</v>
          </cell>
          <cell r="L601">
            <v>6400</v>
          </cell>
          <cell r="M601">
            <v>5099</v>
          </cell>
          <cell r="N601" t="str">
            <v>01 - 15 MARCH</v>
          </cell>
          <cell r="O601" t="str">
            <v>(NB20260350)_Mar_Your Vibe Your Color Your Deal_Sellout Support_RF _Select Store_Creator</v>
          </cell>
        </row>
        <row r="602">
          <cell r="C602" t="str">
            <v>RF X1407CA-LY159WS</v>
          </cell>
          <cell r="E602" t="str">
            <v>X1407CA-LY159WS</v>
          </cell>
          <cell r="F602" t="str">
            <v>90NB1582-M006X0</v>
          </cell>
          <cell r="G602" t="str">
            <v xml:space="preserve">INTEL CORE ULTRA 5 225H / DDR5 16G[ON BD.] / 512G PCIEG4 / 14.0-inch / 14" WUXGA ANTI-GLARE NON-TOUCH,300NITS,NTSC:45%,VIPS-NB(LY) /  / PLATINUM GOLD / Backlit KB / Win 11 Home / OFFICE HOME 2024 (IN)+M365 BASIC / </v>
          </cell>
          <cell r="H602">
            <v>55492.5</v>
          </cell>
          <cell r="I602">
            <v>44911</v>
          </cell>
          <cell r="J602">
            <v>49892.5</v>
          </cell>
          <cell r="K602">
            <v>40379</v>
          </cell>
          <cell r="L602">
            <v>5600</v>
          </cell>
          <cell r="M602">
            <v>4532</v>
          </cell>
          <cell r="N602" t="str">
            <v>01 - 29 MARCH</v>
          </cell>
          <cell r="O602" t="str">
            <v>(NB20260315)_Mar_Sellout Support_RF _Asus_Select</v>
          </cell>
        </row>
        <row r="603">
          <cell r="C603" t="str">
            <v>RF K5504VAB-BN416WS</v>
          </cell>
          <cell r="E603" t="str">
            <v>K5504VAB-BN416WS</v>
          </cell>
          <cell r="F603" t="str">
            <v>90NB0ZK3-M00RP0</v>
          </cell>
          <cell r="G603" t="str">
            <v xml:space="preserve">Intel® Core™ i5-13500H / EVO /  /  / 16GB LPDDR5  / 512GB PCIe® 4.0 SSD / 15.6-inch / FHD ANTI-GLARE ,300NITS,sRGB 100%,IPS /  / Cool Silver /  /  / FingerPrint / Backlit KB / Win 11 Home / MS Office H&amp;S / </v>
          </cell>
          <cell r="H603">
            <v>54392</v>
          </cell>
          <cell r="I603">
            <v>44021</v>
          </cell>
          <cell r="J603">
            <v>50192</v>
          </cell>
          <cell r="K603">
            <v>40621</v>
          </cell>
          <cell r="L603">
            <v>4200</v>
          </cell>
          <cell r="M603">
            <v>3400</v>
          </cell>
          <cell r="N603" t="str">
            <v>01 - 29 MARCH</v>
          </cell>
          <cell r="O603" t="str">
            <v>(NB20260315)_Mar_Sellout Support_RF _Asus_Select</v>
          </cell>
        </row>
        <row r="604">
          <cell r="C604" t="str">
            <v>RF X1605VA-SH1952WS</v>
          </cell>
          <cell r="E604" t="str">
            <v>X1605VA-SH1952WS</v>
          </cell>
          <cell r="F604" t="str">
            <v>90NB10N2-M02DW0</v>
          </cell>
          <cell r="G604" t="str">
            <v xml:space="preserve">INTEL I5-13420H / DDR4 8G+8GB / 512G PCIE G4 / 16.0-inch / 16" OLED WUXGA BEND GLARE NON-TOUCH,300NITS,DCI-P3:95%-NB(SH) /  / 1S-TRANSPARENT SILVER / Backlit KB / Win 11 Home / OFFICE HOME 24(IN)+M365 BASIC / </v>
          </cell>
          <cell r="H604">
            <v>54392</v>
          </cell>
          <cell r="I604">
            <v>44021</v>
          </cell>
          <cell r="J604">
            <v>50192</v>
          </cell>
          <cell r="K604">
            <v>40621</v>
          </cell>
          <cell r="L604">
            <v>4200</v>
          </cell>
          <cell r="M604">
            <v>3400</v>
          </cell>
          <cell r="N604" t="str">
            <v>01 - 29 MARCH</v>
          </cell>
          <cell r="O604" t="str">
            <v>(NB20260315)_Mar_Sellout Support_RF _Asus_Select</v>
          </cell>
        </row>
        <row r="605">
          <cell r="C605" t="str">
            <v>RF K3605VC-RP412WS</v>
          </cell>
          <cell r="E605" t="str">
            <v>K3605VC-RP412WS</v>
          </cell>
          <cell r="F605" t="str">
            <v>90NB11D1-M00JF0</v>
          </cell>
          <cell r="G605" t="str">
            <v>i5-13420H/ RTX3050- 4GB/ DDR4 16GB/ 512GB M.2 NVMe™ PCIe® 4.0 SSD/ 16.0-inch/WUXGA (1920 x 1200) 16:10 aspect ratio/144Hz refresh rate/ Backlit Chiclet Keyboard with Num-key/ 50WHrs, 3S1P, 3-cell Li-ion/ Windows 11 Home - ASUS recommends Windows 11 Pro for business/ OFFICE HOME 2024 &amp; M365 BASIC 1 Year/ / One-Month Membership of Adobe Creative Cloud All Apps, Individual._x000D_
The redemption duration from September 15, 2021 to August 31, 2025./ Indie Black</v>
          </cell>
          <cell r="H605">
            <v>56792</v>
          </cell>
          <cell r="I605">
            <v>45963</v>
          </cell>
          <cell r="J605">
            <v>50392</v>
          </cell>
          <cell r="K605">
            <v>40866</v>
          </cell>
          <cell r="L605">
            <v>6400</v>
          </cell>
          <cell r="M605">
            <v>5097</v>
          </cell>
          <cell r="N605" t="str">
            <v>01 - 15 MARCH</v>
          </cell>
          <cell r="O605" t="str">
            <v>(NB20260350)_Mar_Your Vibe Your Color Your Deal_Sellout Support_RF _Select Store_Creator</v>
          </cell>
        </row>
        <row r="606">
          <cell r="C606" t="str">
            <v>RF K3605VC-RP413WS</v>
          </cell>
          <cell r="E606" t="str">
            <v>K3605VC-RP413WS</v>
          </cell>
          <cell r="F606" t="str">
            <v>90NB11D2-M00JH0</v>
          </cell>
          <cell r="G606" t="str">
            <v>i5-13420H/ RTX3050- 4GB/ DDR4 16GB/ 512GB M.2 NVMe™ PCIe® 4.0 SSD/ 16.0-inch/WUXGA (1920 x 1200) 16:10 aspect ratio/144Hz refresh rate/ Backlit Chiclet Keyboard with Num-key/ 50WHrs, 3S1P, 3-cell Li-ion/ Windows 11 Home - ASUS recommends Windows 11 Pro for business/ OFFICE HOME 2024 &amp; M365 BASIC 1 Year/ / One-Month Membership of Adobe Creative Cloud All Apps, Individual._x000D_
The redemption duration from September 15, 2021 to August 31, 2025./ Cool Silver</v>
          </cell>
          <cell r="H606">
            <v>56792</v>
          </cell>
          <cell r="I606">
            <v>45963</v>
          </cell>
          <cell r="J606">
            <v>50392</v>
          </cell>
          <cell r="K606">
            <v>40866</v>
          </cell>
          <cell r="L606">
            <v>6400</v>
          </cell>
          <cell r="M606">
            <v>5097</v>
          </cell>
          <cell r="N606" t="str">
            <v>01 - 15 MARCH</v>
          </cell>
          <cell r="O606" t="str">
            <v>(NB20260350)_Mar_Your Vibe Your Color Your Deal_Sellout Support_RF _Select Store_Creator</v>
          </cell>
        </row>
        <row r="607">
          <cell r="C607" t="str">
            <v>RF S5507QA-MA551WS</v>
          </cell>
          <cell r="E607" t="str">
            <v>S5507QA-MA551WS</v>
          </cell>
          <cell r="F607" t="str">
            <v>90NB14Q2-M00150</v>
          </cell>
          <cell r="G607" t="str">
            <v xml:space="preserve">Qualcomm SNAPDRAGON X PLUS X1 P42100 / 16GB LPDDR5X  / 1TB PCIe® 4.0 SSD / 15.6-inch / 3K (2880 x 1620) OLED 16:9  /  / Cool Silver / RGB Backlit KB / Win 11 Home / MS Office / </v>
          </cell>
          <cell r="H607">
            <v>55993</v>
          </cell>
          <cell r="I607">
            <v>45316</v>
          </cell>
          <cell r="J607">
            <v>50393</v>
          </cell>
          <cell r="K607">
            <v>40784</v>
          </cell>
          <cell r="L607">
            <v>5600</v>
          </cell>
          <cell r="M607">
            <v>4532</v>
          </cell>
          <cell r="N607" t="str">
            <v>01 - 29 MARCH</v>
          </cell>
          <cell r="O607" t="str">
            <v>(NB20260315)_Mar_Sellout Support_RF _Asus_Select</v>
          </cell>
        </row>
        <row r="608">
          <cell r="C608" t="str">
            <v>RF X1605VA-MB957WS</v>
          </cell>
          <cell r="E608" t="str">
            <v>X1605VA-MB957WS</v>
          </cell>
          <cell r="F608" t="str">
            <v>90NB10N3-M00LY0</v>
          </cell>
          <cell r="G608" t="str">
            <v xml:space="preserve">Intel® Core™ i9-13900H /  /  / 16GB (8*2) DDR4 / 1TB PCIe® 4.0 SSD / 16.0-inch / WUXGA (1920 x 1200) 16:10  /  / Indie Black /  /  / FingerPrint / Backlit KB / Win 11 Home / MS Office / </v>
          </cell>
          <cell r="H608">
            <v>69993</v>
          </cell>
          <cell r="I608">
            <v>56647</v>
          </cell>
          <cell r="J608">
            <v>50393</v>
          </cell>
          <cell r="K608">
            <v>40784</v>
          </cell>
          <cell r="L608">
            <v>19600</v>
          </cell>
          <cell r="M608">
            <v>15863</v>
          </cell>
          <cell r="N608" t="str">
            <v>01 - 29 MARCH</v>
          </cell>
          <cell r="O608" t="str">
            <v>(NB20260315)_Mar_Sellout Support_RF _Asus_Select</v>
          </cell>
        </row>
        <row r="609">
          <cell r="C609" t="str">
            <v>RF X1605VA-MB9999WS</v>
          </cell>
          <cell r="E609" t="str">
            <v>X1605VA-MB9999WS</v>
          </cell>
          <cell r="F609" t="str">
            <v>90NB10N3-M01N30</v>
          </cell>
          <cell r="G609" t="str">
            <v xml:space="preserve">Intel® Core™ i9-13900H / 16GB (8*2) DDR4 / 1TB PCIEG4 / 16.0-inch / WUXGA (1920 x 1200) 16:10  /  / Indie Black /  /  / FingerPrint / Backlit KB / Win 11 Home / Office Home 2024 &amp; M365 Basic 1 Year / </v>
          </cell>
          <cell r="H609">
            <v>69993</v>
          </cell>
          <cell r="I609">
            <v>56647</v>
          </cell>
          <cell r="J609">
            <v>50393</v>
          </cell>
          <cell r="K609">
            <v>40784</v>
          </cell>
          <cell r="L609">
            <v>19600</v>
          </cell>
          <cell r="M609">
            <v>15863</v>
          </cell>
          <cell r="N609" t="str">
            <v>01 - 29 MARCH</v>
          </cell>
          <cell r="O609" t="str">
            <v>(NB20260315)_Mar_Sellout Support_RF _Asus_Select</v>
          </cell>
        </row>
        <row r="610">
          <cell r="C610" t="str">
            <v>RF UX3402ZA-KM732WS</v>
          </cell>
          <cell r="E610" t="str">
            <v>UX3402ZA-KM732WS</v>
          </cell>
          <cell r="F610" t="str">
            <v>90NB0WC2-M00380</v>
          </cell>
          <cell r="G610" t="str">
            <v xml:space="preserve">Intel® i7-1260P / EVO/16GB LPDDR5 /  / 512GB  PCIe® 4.0 PeRF ormance SSD / 14.0-inch / 2.8K (2880 x 1800) OLED 16:10 aspect ratio / 90Hz refresh rate / Intel Iris Xᵉ Graphics /  / Aqua Celadon / NumberPad / FingerPrint / Backlit Chiclet Keyboard / Windows 11 Home / Office Home and Student 2021 </v>
          </cell>
          <cell r="H610">
            <v>56693</v>
          </cell>
          <cell r="I610">
            <v>45883</v>
          </cell>
          <cell r="J610">
            <v>51023</v>
          </cell>
          <cell r="K610">
            <v>41294</v>
          </cell>
          <cell r="L610">
            <v>5670</v>
          </cell>
          <cell r="M610">
            <v>4589</v>
          </cell>
          <cell r="N610" t="str">
            <v>01 - 29 MARCH</v>
          </cell>
          <cell r="O610" t="str">
            <v>(NB20260315)_Mar_Sellout Support_RF _Asus_Select</v>
          </cell>
        </row>
        <row r="611">
          <cell r="C611" t="str">
            <v>RF K5504VAB-BN417WS</v>
          </cell>
          <cell r="E611" t="str">
            <v>K5504VAB-BN417WS</v>
          </cell>
          <cell r="F611" t="str">
            <v>90NB0ZK2-M00RS0</v>
          </cell>
          <cell r="G611" t="str">
            <v xml:space="preserve">Intel® Core™ i9-13900H / EVO /  /  / 16GB LPDDR5  / 512GB PCIe® 4.0 SSD / 15.6-inch / FHD ANTI-GLARE ,300NITS,sRGB 100%,IPS /  / Midnight Black /  /  / FingerPrint / Backlit KB / Win 11 Home / MS Office H&amp;S / </v>
          </cell>
          <cell r="H611">
            <v>58793</v>
          </cell>
          <cell r="I611">
            <v>47582</v>
          </cell>
          <cell r="J611">
            <v>51093</v>
          </cell>
          <cell r="K611">
            <v>41351</v>
          </cell>
          <cell r="L611">
            <v>7700</v>
          </cell>
          <cell r="M611">
            <v>6231</v>
          </cell>
          <cell r="N611" t="str">
            <v>01 - 29 MARCH</v>
          </cell>
          <cell r="O611" t="str">
            <v>(NB20260315)_Mar_Sellout Support_RF _Asus_Select</v>
          </cell>
        </row>
        <row r="612">
          <cell r="C612" t="str">
            <v>RF X1407CA-LY102WS</v>
          </cell>
          <cell r="E612" t="str">
            <v>X1407CA-LY102WS</v>
          </cell>
          <cell r="F612" t="str">
            <v>90NB1581-M003Z0</v>
          </cell>
          <cell r="G612" t="str">
            <v xml:space="preserve">Intel® Core™ Ultra 5 Processor 225H 1.7 GHz/ DDR5 16G[ON BD.] / 512G PCIEG4 / 14.0-inch / 14" WUXGA ANTI-GLARE NON-TOUCH,300NITS,NTSC:45%,VIPS-NB(LY) /  / QUIET BLUE / Backlit KB / Win 11 Home / Office Home 2024 &amp; M365 Basic 1 Year / </v>
          </cell>
          <cell r="H612">
            <v>56792</v>
          </cell>
          <cell r="I612">
            <v>45963</v>
          </cell>
          <cell r="J612">
            <v>51192</v>
          </cell>
          <cell r="K612">
            <v>41431</v>
          </cell>
          <cell r="L612">
            <v>5600</v>
          </cell>
          <cell r="M612">
            <v>4532</v>
          </cell>
          <cell r="N612" t="str">
            <v>01 - 29 MARCH</v>
          </cell>
          <cell r="O612" t="str">
            <v>(NB20260315)_Mar_Sellout Support_RF _Asus_Select</v>
          </cell>
        </row>
        <row r="613">
          <cell r="C613" t="str">
            <v>RF X1407CA-LY160WS</v>
          </cell>
          <cell r="E613" t="str">
            <v>X1407CA-LY160WS</v>
          </cell>
          <cell r="F613" t="str">
            <v>90NB1583-M006Y0</v>
          </cell>
          <cell r="G613" t="str">
            <v xml:space="preserve">INTEL CORE ULTRA 5 225H / DDR5 16G[ON BD.] / 512G PCIEG4 / 14.0-inch / 14" WUXGA ANTI-GLARE NON-TOUCH,300NITS,NTSC:45%,VIPS-NB(LY) /  / Cool Silver / Backlit KB / Win 11 Home / MS Office 2024 / </v>
          </cell>
          <cell r="H613">
            <v>56792</v>
          </cell>
          <cell r="I613">
            <v>45963</v>
          </cell>
          <cell r="J613">
            <v>51192</v>
          </cell>
          <cell r="K613">
            <v>41431</v>
          </cell>
          <cell r="L613">
            <v>5600</v>
          </cell>
          <cell r="M613">
            <v>4532</v>
          </cell>
          <cell r="N613" t="str">
            <v>01 - 29 MARCH</v>
          </cell>
          <cell r="O613" t="str">
            <v>(NB20260315)_Mar_Sellout Support_RF _Asus_Select</v>
          </cell>
        </row>
        <row r="614">
          <cell r="C614" t="str">
            <v>RF X1502VA-BQ837WS</v>
          </cell>
          <cell r="E614" t="str">
            <v>X1502VA-BQ837WS</v>
          </cell>
          <cell r="F614" t="str">
            <v>90NB10T2-M014M0</v>
          </cell>
          <cell r="G614" t="str">
            <v xml:space="preserve">INTEL I7-13620H / DDR4 8G+8GB / 512G PCIE G4 / 15.6-inch / 15.6" FHD ANTI-GLARE NON-TOUCH,250NITS,NTSC:45%,VIPS-NB(BQ) /  / 1S-COOL SILVER / Backlit KB / Win 11 Home / Office Home 2024 &amp; M365 Basic 1 Year / </v>
          </cell>
          <cell r="H614">
            <v>51992</v>
          </cell>
          <cell r="I614">
            <v>42078</v>
          </cell>
          <cell r="J614">
            <v>51292</v>
          </cell>
          <cell r="K614">
            <v>41512</v>
          </cell>
          <cell r="L614">
            <v>700</v>
          </cell>
          <cell r="M614">
            <v>566</v>
          </cell>
          <cell r="N614" t="str">
            <v>01 - 29 MARCH</v>
          </cell>
          <cell r="O614" t="str">
            <v>(NB20260315)_Mar_Sellout Support_RF _Asus_Select</v>
          </cell>
        </row>
        <row r="615">
          <cell r="C615" t="str">
            <v>RF X1502VA-BQ838WS</v>
          </cell>
          <cell r="E615" t="str">
            <v>X1502VA-BQ838WS</v>
          </cell>
          <cell r="F615" t="str">
            <v>90NB10T1-M014N0</v>
          </cell>
          <cell r="G615" t="str">
            <v xml:space="preserve">INTEL I7-13620H / DDR4 8G+8GB / 512G PCIE G4 / 15.6-inch / 15.6" FHD ANTI-GLARE NON-TOUCH,250NITS,NTSC:45%,VIPS-NB(BQ) /  / 1B-QUIET BLUE / Backlit KB / Win 11 Home / Office Home 2024 &amp; M365 Basic 1 Year / </v>
          </cell>
          <cell r="H615">
            <v>51992</v>
          </cell>
          <cell r="I615">
            <v>42078</v>
          </cell>
          <cell r="J615">
            <v>51292</v>
          </cell>
          <cell r="K615">
            <v>41512</v>
          </cell>
          <cell r="L615">
            <v>700</v>
          </cell>
          <cell r="M615">
            <v>566</v>
          </cell>
          <cell r="N615" t="str">
            <v>01 - 29 MARCH</v>
          </cell>
          <cell r="O615" t="str">
            <v>(NB20260315)_Mar_Sellout Support_RF _Asus_Select</v>
          </cell>
        </row>
        <row r="616">
          <cell r="C616" t="str">
            <v>RF TP3402VAO-LZ612WS</v>
          </cell>
          <cell r="E616" t="str">
            <v>TP3402VAO-LZ612WS</v>
          </cell>
          <cell r="F616" t="str">
            <v>90NB10W2-M00SB0</v>
          </cell>
          <cell r="G616" t="str">
            <v xml:space="preserve">INTEL I5-13420H / 16GB (8*2) DDR4 / 512GB PCIe® 4.0 SSD / 14.0-inch / 14" WUXGA GLARE TOUCH(OGM),300NITS,NTSC:45%,VIPS-NB(LZ) /  / Transparent Silver / Backlit KB / Win 11 Home / MS Office </v>
          </cell>
          <cell r="H616">
            <v>53592</v>
          </cell>
          <cell r="I616">
            <v>43373</v>
          </cell>
          <cell r="J616">
            <v>51492</v>
          </cell>
          <cell r="K616">
            <v>41674</v>
          </cell>
          <cell r="L616">
            <v>2100</v>
          </cell>
          <cell r="M616">
            <v>1699</v>
          </cell>
          <cell r="N616" t="str">
            <v>01 - 29 MARCH</v>
          </cell>
          <cell r="O616" t="str">
            <v>(NB20260315)_Mar_Sellout Support_RF _Asus_Select</v>
          </cell>
        </row>
        <row r="617">
          <cell r="C617" t="str">
            <v>RF TP3402VAO-LZ619WS</v>
          </cell>
          <cell r="E617" t="str">
            <v>TP3402VAO-LZ619WS</v>
          </cell>
          <cell r="F617" t="str">
            <v>90NB10W1-M00SK0</v>
          </cell>
          <cell r="G617" t="str">
            <v>INTEL I5-13420H / 16GB (8*2) DDR4 / 512GB PCIe® 4.0 SSD / 14.0-inch / 14" WUXGA GLARE TOUCH(OGM),300NITS,NTSC:45%,VIPS-NB(LZ) /  / Quiet Blue / Backlit KB / Win 11 Home / MS Office</v>
          </cell>
          <cell r="H617">
            <v>53592</v>
          </cell>
          <cell r="I617">
            <v>43373</v>
          </cell>
          <cell r="J617">
            <v>51492</v>
          </cell>
          <cell r="K617">
            <v>41674</v>
          </cell>
          <cell r="L617">
            <v>2100</v>
          </cell>
          <cell r="M617">
            <v>1699</v>
          </cell>
          <cell r="N617" t="str">
            <v>01 - 29 MARCH</v>
          </cell>
          <cell r="O617" t="str">
            <v>(NB20260315)_Mar_Sellout Support_RF _Asus_Select</v>
          </cell>
        </row>
        <row r="618">
          <cell r="C618" t="str">
            <v>RF FA506NCR-HN054W</v>
          </cell>
          <cell r="E618" t="str">
            <v>FA506NCR-HN054W</v>
          </cell>
          <cell r="F618" t="str">
            <v>90NR0JV7-M003R0</v>
          </cell>
          <cell r="G618" t="str">
            <v>R7-7435HS/ RTX3050- 4GB/ 16G X 1 DDR5/ 512G PCIEG4/ 15.6" FHD 144Hz/ Backlit KB- 1 zone RGB/ 48Whr/ WIN 11/ 0/ -/ McAfee(1 year)/ 2B-GRAPHITE BLACK</v>
          </cell>
          <cell r="H618">
            <v>54392</v>
          </cell>
          <cell r="I618">
            <v>44021</v>
          </cell>
          <cell r="J618">
            <v>51992</v>
          </cell>
          <cell r="K618">
            <v>42078</v>
          </cell>
          <cell r="L618">
            <v>2400</v>
          </cell>
          <cell r="M618">
            <v>1943</v>
          </cell>
          <cell r="N618" t="str">
            <v>01 - 31 MARCH</v>
          </cell>
          <cell r="O618" t="str">
            <v>(NR260322) Asus Mar Top Picks_Sellout Support_RF _Select Store</v>
          </cell>
        </row>
        <row r="619">
          <cell r="C619" t="str">
            <v>RF FA566NCR-HN075W</v>
          </cell>
          <cell r="E619" t="str">
            <v>FA566NCR-HN075W</v>
          </cell>
          <cell r="F619" t="str">
            <v>90NR0JV7-M004V0</v>
          </cell>
          <cell r="G619" t="str">
            <v>R7-7435HS/ RTX3050- 4GB/ 16G DDR5/ 512GB PCIe/ 15.6" FHD 144Hz/ Backlit Chiclet Keyboard 1-Zone RGB/ 48WHrs/ Win 11/ / 720P HD camera/ McAfee® 1 year/ GRAPHITE BLACK</v>
          </cell>
          <cell r="H619">
            <v>54392</v>
          </cell>
          <cell r="I619">
            <v>44021</v>
          </cell>
          <cell r="J619">
            <v>51992</v>
          </cell>
          <cell r="K619">
            <v>42078</v>
          </cell>
          <cell r="L619">
            <v>2400</v>
          </cell>
          <cell r="M619">
            <v>1943</v>
          </cell>
          <cell r="N619" t="str">
            <v>01 - 31 MARCH</v>
          </cell>
          <cell r="O619" t="str">
            <v>(NR260322) Asus Mar Top Picks_Sellout Support_RF _Select Store</v>
          </cell>
        </row>
        <row r="620">
          <cell r="C620" t="str">
            <v>RF X1407CA-LY1581WS</v>
          </cell>
          <cell r="E620" t="str">
            <v>X1407CA-LY1581WS</v>
          </cell>
          <cell r="F620" t="str">
            <v>90NB1582-M006U0</v>
          </cell>
          <cell r="G620" t="str">
            <v xml:space="preserve">INTEL CORE ULTRA 5 225H / DDR5 16G[ON BD.] / 1TB PCIE G4 / 14.0-inch / 14" WUXGA ANTI-GLARE NON-TOUCH,300NITS,NTSC:45%,VIPS-NB(LY) /  / PLATINUM GOLD / Backlit KB / Win 11 Home / MS Office 2024 / </v>
          </cell>
          <cell r="H620">
            <v>59992</v>
          </cell>
          <cell r="I620">
            <v>48553</v>
          </cell>
          <cell r="J620">
            <v>52292</v>
          </cell>
          <cell r="K620">
            <v>42321</v>
          </cell>
          <cell r="L620">
            <v>7700</v>
          </cell>
          <cell r="M620">
            <v>6232</v>
          </cell>
          <cell r="N620" t="str">
            <v>01 - 29 MARCH</v>
          </cell>
          <cell r="O620" t="str">
            <v>(NB20260315)_Mar_Sellout Support_RF _Asus_Select</v>
          </cell>
        </row>
        <row r="621">
          <cell r="C621" t="str">
            <v>RF X1605VA-MB1275WS</v>
          </cell>
          <cell r="E621" t="str">
            <v>X1605VA-MB1275WS</v>
          </cell>
          <cell r="F621" t="str">
            <v>90NB10N2-M01NB0</v>
          </cell>
          <cell r="G621" t="str">
            <v xml:space="preserve">INTEL I7-13620H / DDR4 16G[ON BD.] / 512G PCIE G4 / 16.0-inch / 16" WUXGA ANTI-GLARE NON-TOUCH,300NITS,NTSC:45%,VIPS-NB(MB) /  / 1S-TRANSPARENT SILVER / Backlit KB / Win 11 Home / Office Home 2024 &amp; M365 Basic 1 Year / </v>
          </cell>
          <cell r="H621">
            <v>54392</v>
          </cell>
          <cell r="I621">
            <v>44021</v>
          </cell>
          <cell r="J621">
            <v>52292</v>
          </cell>
          <cell r="K621">
            <v>42321</v>
          </cell>
          <cell r="L621">
            <v>2100</v>
          </cell>
          <cell r="M621">
            <v>1700</v>
          </cell>
          <cell r="N621" t="str">
            <v>01 - 29 MARCH</v>
          </cell>
          <cell r="O621" t="str">
            <v>(NB20260315)_Mar_Sellout Support_RF _Asus_Select</v>
          </cell>
        </row>
        <row r="622">
          <cell r="C622" t="str">
            <v>RF X1605VA-MB1628WS</v>
          </cell>
          <cell r="E622" t="str">
            <v>X1605VA-MB1628WS</v>
          </cell>
          <cell r="F622" t="str">
            <v>90NB10N2-M021T0</v>
          </cell>
          <cell r="G622" t="str">
            <v xml:space="preserve">INTEL I7-13620H / DDR4 8G+8GB / 512G PCIE G4 / 16.0-inch / 16" WUXGA ANTI-GLARE NON-TOUCH,300NITS,NTSC:45%,VIPS-NB(MB) /  / 1S-TRANSPARENT SILVER / Backlit KB / Win 11 Home / Office Home 2024 &amp; M365 Basic 1 Year / </v>
          </cell>
          <cell r="H622">
            <v>54392</v>
          </cell>
          <cell r="I622">
            <v>44021</v>
          </cell>
          <cell r="J622">
            <v>52292</v>
          </cell>
          <cell r="K622">
            <v>42321</v>
          </cell>
          <cell r="L622">
            <v>2100</v>
          </cell>
          <cell r="M622">
            <v>1700</v>
          </cell>
          <cell r="N622" t="str">
            <v>01 - 29 MARCH</v>
          </cell>
          <cell r="O622" t="str">
            <v>(NB20260315)_Mar_Sellout Support_RF _Asus_Select</v>
          </cell>
        </row>
        <row r="623">
          <cell r="C623" t="str">
            <v>RF X1605VA-MB1628WS</v>
          </cell>
          <cell r="E623" t="str">
            <v>X1605VA-MB1628WS</v>
          </cell>
          <cell r="F623" t="str">
            <v>90NB15N2-M00080</v>
          </cell>
          <cell r="G623" t="str">
            <v xml:space="preserve">INTEL I7-13620H / DDR4 8G+8GB / 512G PCIE G4 / 16.0-inch / 16" WUXGA ANTI-GLARE NON-TOUCH,300NITS,NTSC:45%,VIPS-NB(MB) /  / 1S-TRANSPARENT SILVER / Backlit KB / Win 11 Home / Office Home 2024 &amp; M365 Basic 1 Year / </v>
          </cell>
          <cell r="H623">
            <v>54392</v>
          </cell>
          <cell r="I623">
            <v>44021</v>
          </cell>
          <cell r="J623">
            <v>52292</v>
          </cell>
          <cell r="K623">
            <v>42321</v>
          </cell>
          <cell r="L623">
            <v>2100</v>
          </cell>
          <cell r="M623">
            <v>1700</v>
          </cell>
          <cell r="N623" t="str">
            <v>01 - 29 MARCH</v>
          </cell>
          <cell r="O623" t="str">
            <v>(NB20260315)_Mar_Sellout Support_RF _Asus_Select</v>
          </cell>
        </row>
        <row r="624">
          <cell r="C624" t="str">
            <v>RF S5504VA-MA553WS</v>
          </cell>
          <cell r="E624" t="str">
            <v>S5504VA-MA553WS</v>
          </cell>
          <cell r="F624" t="str">
            <v>90NB0ZK3-M008A0</v>
          </cell>
          <cell r="G624" t="str">
            <v xml:space="preserve">Intel® Core™ i5-13500H / EVO /  /  / 16GB LPDDR5  / 1TB PCIe® 4.0 SSD / 15.6-inch / 3K (2880 x 1620) OLED 16:9  /  / Cool Silver /  /  / FingerPrint / Backlit KB / Win 11 Home / MS Office / </v>
          </cell>
          <cell r="H624">
            <v>56693</v>
          </cell>
          <cell r="I624">
            <v>45883</v>
          </cell>
          <cell r="J624">
            <v>52493</v>
          </cell>
          <cell r="K624">
            <v>42484</v>
          </cell>
          <cell r="L624">
            <v>4200</v>
          </cell>
          <cell r="M624">
            <v>3399</v>
          </cell>
          <cell r="N624" t="str">
            <v>01 - 29 MARCH</v>
          </cell>
          <cell r="O624" t="str">
            <v>(NB20260315)_Mar_Sellout Support_RF _Asus_Select</v>
          </cell>
        </row>
        <row r="625">
          <cell r="C625" t="str">
            <v>RF S5504VA-MA741WS</v>
          </cell>
          <cell r="E625" t="str">
            <v>S5504VA-MA741WS</v>
          </cell>
          <cell r="F625" t="str">
            <v>90NB0ZK1-M00800</v>
          </cell>
          <cell r="G625" t="str">
            <v xml:space="preserve">Intel® Core™ i7-13700H EVO /  /  / 16GB LPDDR5  / 512GB PCIe® 4.0 SSD / 15.6-inch / 2.8K (2880 x 1620) OLED 16:9  /  / Solar Blue /  /  / FingerPrint / Backlit KB / Win 11 Home / MS Office / </v>
          </cell>
          <cell r="H625">
            <v>66493</v>
          </cell>
          <cell r="I625">
            <v>53814</v>
          </cell>
          <cell r="J625">
            <v>52493</v>
          </cell>
          <cell r="K625">
            <v>42484</v>
          </cell>
          <cell r="L625">
            <v>14000</v>
          </cell>
          <cell r="M625">
            <v>11330</v>
          </cell>
          <cell r="N625" t="str">
            <v>01 - 29 MARCH</v>
          </cell>
          <cell r="O625" t="str">
            <v>(NB20260315)_Mar_Sellout Support_RF _Asus_Select</v>
          </cell>
        </row>
        <row r="626">
          <cell r="C626" t="str">
            <v>RF UM3402YA-KM551WS</v>
          </cell>
          <cell r="E626" t="str">
            <v>UM3402YA-KM551WS</v>
          </cell>
          <cell r="F626" t="str">
            <v>90NB0W95-M00RB0</v>
          </cell>
          <cell r="G626" t="str">
            <v>AMD Ryzen™ 5 7530U /  /  / 16GB LPDDR4X  / 1TB PCIe® 3.0 SSD / 14.0-inch / 2.8K (2880 x 1800) OLED 16:10  / 90Hz refresh rate / JADE BLACK / NumberPad /  / FingerPrint / Backlit KB / Win 11 Home / MS Office / Sleeve</v>
          </cell>
          <cell r="H626">
            <v>55993</v>
          </cell>
          <cell r="I626">
            <v>45316</v>
          </cell>
          <cell r="J626">
            <v>52493</v>
          </cell>
          <cell r="K626">
            <v>42484</v>
          </cell>
          <cell r="L626">
            <v>3500</v>
          </cell>
          <cell r="M626">
            <v>2832</v>
          </cell>
          <cell r="N626" t="str">
            <v>01 - 29 MARCH</v>
          </cell>
          <cell r="O626" t="str">
            <v>(NB20260315)_Mar_Sellout Support_RF _Asus_Select</v>
          </cell>
        </row>
        <row r="627">
          <cell r="C627" t="str">
            <v>RF UM3402YA-KM741WS</v>
          </cell>
          <cell r="E627" t="str">
            <v>UM3402YA-KM741WS</v>
          </cell>
          <cell r="F627" t="str">
            <v>90NB0W95-M00PR0</v>
          </cell>
          <cell r="G627" t="str">
            <v>AMD Ryzen™ 7 7730U /  /  / 16GB LPDDR4X  / 512GB PCIe® 3.0 SSD / 14.0-inch / 2.8K (2880 x 1800) OLED 16:10  / 90Hz refresh rate / JADE BLACK / NumberPad /  / FingerPrint / Backlit KB / Win 11 Home / MS Office / Sleeve</v>
          </cell>
          <cell r="H627">
            <v>59493</v>
          </cell>
          <cell r="I627">
            <v>48149</v>
          </cell>
          <cell r="J627">
            <v>52493</v>
          </cell>
          <cell r="K627">
            <v>42484</v>
          </cell>
          <cell r="L627">
            <v>7000</v>
          </cell>
          <cell r="M627">
            <v>5665</v>
          </cell>
          <cell r="N627" t="str">
            <v>01 - 29 MARCH</v>
          </cell>
          <cell r="O627" t="str">
            <v>(NB20260315)_Mar_Sellout Support_RF _Asus_Select</v>
          </cell>
        </row>
        <row r="628">
          <cell r="C628" t="str">
            <v>RF UX8402ZA-M501WS</v>
          </cell>
          <cell r="E628" t="str">
            <v>UX8402ZA-M501WS</v>
          </cell>
          <cell r="F628" t="str">
            <v>90NB0X72-M004E0</v>
          </cell>
          <cell r="G628" t="str">
            <v>Intel® Core™ i5-12500H  /EVO/ Integrated Graphics /  / Tech Black / 14.5-inch / 2.8K (2880 x 1800) OLED 16:10 aspect ratio / 16GB LPDDR5 / 512GB M.2 NVMe™ PCIe® 4.0 PeRF ormance SSD /  / Backlit Chiclet Keyboard / Sleeve
Stand
Stylus / Windows 11 Home / Office Home and Student 2021 included</v>
          </cell>
          <cell r="H628">
            <v>62993</v>
          </cell>
          <cell r="I628">
            <v>50982</v>
          </cell>
          <cell r="J628">
            <v>52493</v>
          </cell>
          <cell r="K628">
            <v>42484</v>
          </cell>
          <cell r="L628">
            <v>10500</v>
          </cell>
          <cell r="M628">
            <v>8498</v>
          </cell>
          <cell r="N628" t="str">
            <v>01 - 29 MARCH</v>
          </cell>
          <cell r="O628" t="str">
            <v>(NB20260315)_Mar_Sellout Support_RF _Asus_Select</v>
          </cell>
        </row>
        <row r="629">
          <cell r="C629" t="str">
            <v>RF X1605VA-MB747WS</v>
          </cell>
          <cell r="E629" t="str">
            <v>X1605VA-MB747WS</v>
          </cell>
          <cell r="F629" t="str">
            <v>90NB10N3-M018M0</v>
          </cell>
          <cell r="G629" t="str">
            <v xml:space="preserve">Intel® Core™ i7-13700H / 16GB (8*2) DDR4 / 512GB PCIe® 4.0 SSD / 16.0-inch / WUXGA (1920 x 1200) 16:10  /  / Indie Black /  /  / FingerPrint / Backlit KB / Win 11 Home / MS Office / </v>
          </cell>
          <cell r="H629">
            <v>56792</v>
          </cell>
          <cell r="I629">
            <v>45963</v>
          </cell>
          <cell r="J629">
            <v>52592</v>
          </cell>
          <cell r="K629">
            <v>42564</v>
          </cell>
          <cell r="L629">
            <v>4200</v>
          </cell>
          <cell r="M629">
            <v>3399</v>
          </cell>
          <cell r="N629" t="str">
            <v>01 - 29 MARCH</v>
          </cell>
          <cell r="O629" t="str">
            <v>(NB20260315)_Mar_Sellout Support_RF _Asus_Select</v>
          </cell>
        </row>
        <row r="630">
          <cell r="C630" t="str">
            <v>RF UN5401QA-KN901WS</v>
          </cell>
          <cell r="E630" t="str">
            <v>UN5401QA-KN901WS</v>
          </cell>
          <cell r="F630" t="str">
            <v>90NB0V31-M002Z0</v>
          </cell>
          <cell r="G630" t="str">
            <v xml:space="preserve">R9 5900H /  / 16GB / 1TB SSD / Jade Black / 14.0-inch Touch / 2.8K OLED 16:10 aspect ratio / 1Y International Warranty / McAfee / Win 11 / Office H&amp;S 2021 / FingerPrint / Backlit KB / Numberpad / Sleeve / </v>
          </cell>
          <cell r="H630">
            <v>59994</v>
          </cell>
          <cell r="I630">
            <v>48554</v>
          </cell>
          <cell r="J630">
            <v>52994</v>
          </cell>
          <cell r="K630">
            <v>42889</v>
          </cell>
          <cell r="L630">
            <v>7000</v>
          </cell>
          <cell r="M630">
            <v>5665</v>
          </cell>
          <cell r="N630" t="str">
            <v>01 - 29 MARCH</v>
          </cell>
          <cell r="O630" t="str">
            <v>(NB20260315)_Mar_Sellout Support_RF _Asus_Select</v>
          </cell>
        </row>
        <row r="631">
          <cell r="C631" t="str">
            <v>RF X1607CA-MB139WS</v>
          </cell>
          <cell r="E631" t="str">
            <v>X1607CA-MB139WS</v>
          </cell>
          <cell r="F631" t="str">
            <v>90NB15A1-M007L0</v>
          </cell>
          <cell r="G631" t="str">
            <v xml:space="preserve"> </v>
          </cell>
          <cell r="H631">
            <v>56792</v>
          </cell>
          <cell r="I631">
            <v>45963</v>
          </cell>
          <cell r="J631">
            <v>53292</v>
          </cell>
          <cell r="K631">
            <v>43130</v>
          </cell>
          <cell r="L631">
            <v>3500</v>
          </cell>
          <cell r="M631">
            <v>2833</v>
          </cell>
          <cell r="N631" t="str">
            <v>01 - 29 MARCH</v>
          </cell>
          <cell r="O631" t="str">
            <v>(NB20260315)_Mar_Sellout Support_RF _Asus_Select</v>
          </cell>
        </row>
        <row r="632">
          <cell r="C632" t="str">
            <v>RF X1607CA-MB142WS</v>
          </cell>
          <cell r="E632" t="str">
            <v>X1607CA-MB142WS</v>
          </cell>
          <cell r="F632" t="str">
            <v>90NB15A2-M007P0</v>
          </cell>
          <cell r="G632" t="str">
            <v xml:space="preserve">Intel® Core™ Ultra 5 Processor 225H 1.7 GHz  / DDR5 16G[ON BD.] / 512G PCIEG4 / 16.0-inch / 16" WUXGA ANTI-GLARE NON-TOUCH,300NITS,NTSC:45%,VIPS-NB(MB) /  / COOL SILVER / Backlit KB / Win 11 Home / Office Home 2024 &amp; M365 Basic 1 Year / </v>
          </cell>
          <cell r="H632">
            <v>56792</v>
          </cell>
          <cell r="I632">
            <v>45963</v>
          </cell>
          <cell r="J632">
            <v>53292</v>
          </cell>
          <cell r="K632">
            <v>43130</v>
          </cell>
          <cell r="L632">
            <v>3500</v>
          </cell>
          <cell r="M632">
            <v>2833</v>
          </cell>
          <cell r="N632" t="str">
            <v>01 - 29 MARCH</v>
          </cell>
          <cell r="O632" t="str">
            <v>(NB20260315)_Mar_Sellout Support_RF _Asus_Select</v>
          </cell>
        </row>
        <row r="633">
          <cell r="C633" t="str">
            <v>RF S3407QA-KP020WS</v>
          </cell>
          <cell r="E633" t="str">
            <v>S3407QA-KP020WS</v>
          </cell>
          <cell r="F633" t="str">
            <v>90NB16B1-M00150</v>
          </cell>
          <cell r="G633" t="str">
            <v xml:space="preserve">Snapdragon® X / LPDDR5X 16G [ON BD.] / 512GB PCIe® 4.0 SSD / 14.0-inch / 14" WQXGA ANTI-GLARE NON-TOUCH,400NITS,sRGB 100%,IPS-NB(KP) /  / COOL SILVER / Backlit KB / Win 11 Home / MS Office 2024 + MSO 365 / </v>
          </cell>
          <cell r="H633">
            <v>57592</v>
          </cell>
          <cell r="I633">
            <v>46610</v>
          </cell>
          <cell r="J633">
            <v>53392</v>
          </cell>
          <cell r="K633">
            <v>43211</v>
          </cell>
          <cell r="L633">
            <v>4200</v>
          </cell>
          <cell r="M633">
            <v>3399</v>
          </cell>
          <cell r="N633" t="str">
            <v>01 - 29 MARCH</v>
          </cell>
          <cell r="O633" t="str">
            <v>(NB20260315)_Mar_Sellout Support_RF _Asus_Select</v>
          </cell>
        </row>
        <row r="634">
          <cell r="C634" t="str">
            <v>RF S3407QA-KP027WS</v>
          </cell>
          <cell r="E634" t="str">
            <v>S3407QA-KP027WS</v>
          </cell>
          <cell r="F634" t="str">
            <v>90NB16B2-M00200</v>
          </cell>
          <cell r="G634" t="str">
            <v xml:space="preserve">Snapdragon® X / LPDDR5X 16G [ON BD.] / 512GB PCIe® 4.0 SSD / 14.0-inch / 14" WQXGA ANTI-GLARE NON-TOUCH,400NITS,sRGB 100%,IPS-NB(KP) /  / 2G-MATTE GRAY / Backlit KB / Win 11 Home / MS Office 2024 + MSO 365 / </v>
          </cell>
          <cell r="H634">
            <v>57592</v>
          </cell>
          <cell r="I634">
            <v>46610</v>
          </cell>
          <cell r="J634">
            <v>53392</v>
          </cell>
          <cell r="K634">
            <v>43211</v>
          </cell>
          <cell r="L634">
            <v>4200</v>
          </cell>
          <cell r="M634">
            <v>3399</v>
          </cell>
          <cell r="N634" t="str">
            <v>01 - 29 MARCH</v>
          </cell>
          <cell r="O634" t="str">
            <v>(NB20260315)_Mar_Sellout Support_RF _Asus_Select</v>
          </cell>
        </row>
        <row r="635">
          <cell r="C635" t="str">
            <v>RF FA506NCR-HN075WS</v>
          </cell>
          <cell r="E635" t="str">
            <v>FA506NCR-HN075WS</v>
          </cell>
          <cell r="F635" t="str">
            <v>90NR0JV7-M004W0</v>
          </cell>
          <cell r="G635" t="str">
            <v>R7-7435HS/ RTX3050- 4GB/ 16GB DDR5/ 512GB SSD/ 15.6" FHD 144Hz/ RGB ILLUMINATED CHICLET/ 48Whr/ WIN 11/ Office H&amp;S 2021/ / McAfee(1 year)/ GRAPHITE BLACK</v>
          </cell>
          <cell r="H635">
            <v>55992</v>
          </cell>
          <cell r="I635">
            <v>45316</v>
          </cell>
          <cell r="J635">
            <v>53592</v>
          </cell>
          <cell r="K635">
            <v>43373</v>
          </cell>
          <cell r="L635">
            <v>2400</v>
          </cell>
          <cell r="M635">
            <v>1943</v>
          </cell>
          <cell r="N635" t="str">
            <v>01 - 31 MARCH</v>
          </cell>
          <cell r="O635" t="str">
            <v>(NR260322) Asus Mar Top Picks_Sellout Support_RF _Select Store</v>
          </cell>
        </row>
        <row r="636">
          <cell r="C636" t="str">
            <v>RF FA506NCR-HN275WS</v>
          </cell>
          <cell r="E636" t="str">
            <v>FA506NCR-HN275WS</v>
          </cell>
          <cell r="F636" t="str">
            <v>90NR0JV7-M00880</v>
          </cell>
          <cell r="G636" t="str">
            <v>R7-7435HS/ RTX3050- 4GB/ 16GB DDR5/ 512GB SSD/ 15.6" FHD 144Hz/ / 48WHrs/ Win 11/ OFFICE HOME 2024 &amp; M365 BASIC 1 Year/ / McAfee(1 year)/ GRAPHITE BLACK</v>
          </cell>
          <cell r="H636">
            <v>56792</v>
          </cell>
          <cell r="I636">
            <v>45963</v>
          </cell>
          <cell r="J636">
            <v>53592</v>
          </cell>
          <cell r="K636">
            <v>43373</v>
          </cell>
          <cell r="L636">
            <v>3200</v>
          </cell>
          <cell r="M636">
            <v>2590</v>
          </cell>
          <cell r="N636" t="str">
            <v>01 - 31 MARCH</v>
          </cell>
          <cell r="O636" t="str">
            <v>(NR260322) Asus Mar Top Picks_Sellout Support_RF _Select Store</v>
          </cell>
        </row>
        <row r="637">
          <cell r="C637" t="str">
            <v>RF FA566NCR-HN054WS</v>
          </cell>
          <cell r="E637" t="str">
            <v>FA566NCR-HN054WS</v>
          </cell>
          <cell r="F637" t="str">
            <v>90NR0JV7-M005P0</v>
          </cell>
          <cell r="G637" t="str">
            <v>R7-7435HS/ RTX3050- 4GB/ 16G DDR5/ 512GB PCIe/ 15.6" FHD 144Hz/ Backlit Chiclet Keyboard 1-Zone RGB/ 48WHrs/ Win 11/ MSO 2021/ 720P HD camera/ McAfee® 1 year/ 2B-GRAPHITE BLACK</v>
          </cell>
          <cell r="H637">
            <v>55992</v>
          </cell>
          <cell r="I637">
            <v>45316</v>
          </cell>
          <cell r="J637">
            <v>53592</v>
          </cell>
          <cell r="K637">
            <v>43373</v>
          </cell>
          <cell r="L637">
            <v>2400</v>
          </cell>
          <cell r="M637">
            <v>1943</v>
          </cell>
          <cell r="N637" t="str">
            <v>01 - 31 MARCH</v>
          </cell>
          <cell r="O637" t="str">
            <v>(NR260322) Asus Mar Top Picks_Sellout Support_RF _Select Store</v>
          </cell>
        </row>
        <row r="638">
          <cell r="C638" t="str">
            <v>RF FA566NCR-HN254WS</v>
          </cell>
          <cell r="E638" t="str">
            <v>FA566NCR-HN254WS</v>
          </cell>
          <cell r="F638" t="str">
            <v>90NR0JV7-M00890</v>
          </cell>
          <cell r="G638" t="str">
            <v>R7-7435HS/ RTX3050- 4GB/ 16G DDR5/ 512GB PCIe/ 15.6" FHD 144Hz/ Backlit Chiclet Keyboard 1-Zone RGB/ 48WHrs/ Win 11/ OFFICE HOME 2024 &amp; M365 BASIC 1 Year/ 720P HD camera/ McAfee® 1 year/ GRAPHITE BLACK</v>
          </cell>
          <cell r="H638">
            <v>56792</v>
          </cell>
          <cell r="I638">
            <v>45963</v>
          </cell>
          <cell r="J638">
            <v>53592</v>
          </cell>
          <cell r="K638">
            <v>43373</v>
          </cell>
          <cell r="L638">
            <v>3200</v>
          </cell>
          <cell r="M638">
            <v>2590</v>
          </cell>
          <cell r="N638" t="str">
            <v>01 - 31 MARCH</v>
          </cell>
          <cell r="O638" t="str">
            <v>(NR260322) Asus Mar Top Picks_Sellout Support_RF _Select Store</v>
          </cell>
        </row>
        <row r="639">
          <cell r="C639" t="str">
            <v>RF FA506NCG-HN199W</v>
          </cell>
          <cell r="E639" t="str">
            <v>FA506NCG-HN199W</v>
          </cell>
          <cell r="F639" t="str">
            <v>90NR0JF7-M00FX0</v>
          </cell>
          <cell r="G639" t="str">
            <v>R7-7445HS/RTX3050 4GB/16GB DDR5 /512G PCIEG4/15.6 FHD ANTI-GLARE NON-TOUCH,250NITS,NTSC:45%(144HZ),VIPS-NB(HN)/Backlit Chiclet Keyboard 1-Zone RGB/48WHrs, 3S1P, 3-cell Li-ion/X//Black</v>
          </cell>
          <cell r="H639">
            <v>61592</v>
          </cell>
          <cell r="I639">
            <v>49848</v>
          </cell>
          <cell r="J639">
            <v>53592</v>
          </cell>
          <cell r="K639">
            <v>43373</v>
          </cell>
          <cell r="L639">
            <v>8000</v>
          </cell>
          <cell r="M639">
            <v>6475</v>
          </cell>
          <cell r="N639" t="str">
            <v>01 - 15 MARCH</v>
          </cell>
          <cell r="O639" t="str">
            <v>(NR260304) Asus your vibe your color your Deal _Sellout Support_RF _Select Store</v>
          </cell>
        </row>
        <row r="640">
          <cell r="C640" t="str">
            <v>RF UP3404VA-KN542WS</v>
          </cell>
          <cell r="E640" t="str">
            <v>UP3404VA-KN542WS</v>
          </cell>
          <cell r="F640" t="str">
            <v>90NB10E2-M001E0</v>
          </cell>
          <cell r="G640" t="str">
            <v>Intel® Core™ i5-1340P EVO /  /  / 16GB LPDDR5  / 512GB PCIe® 4.0 / 14.0-inch / 2.8K (2880 x 1800) OLED 16:10 touch / 90Hz refresh rate / Ponder Blue / NumberPad /  / IR camera / Backlit KB / Win 11 Home / MS Office / Sleeve / Stylus</v>
          </cell>
          <cell r="H640">
            <v>59493</v>
          </cell>
          <cell r="I640">
            <v>48149</v>
          </cell>
          <cell r="J640">
            <v>53893</v>
          </cell>
          <cell r="K640">
            <v>43617</v>
          </cell>
          <cell r="L640">
            <v>5600</v>
          </cell>
          <cell r="M640">
            <v>4532</v>
          </cell>
          <cell r="N640" t="str">
            <v>01 - 29 MARCH</v>
          </cell>
          <cell r="O640" t="str">
            <v>(NB20260315)_Mar_Sellout Support_RF _Asus_Select</v>
          </cell>
        </row>
        <row r="641">
          <cell r="C641" t="str">
            <v>RF UP3404VA-KN543WS</v>
          </cell>
          <cell r="E641" t="str">
            <v>UP3404VA-KN543WS</v>
          </cell>
          <cell r="F641" t="str">
            <v>90NB10E3-M001H0</v>
          </cell>
          <cell r="G641" t="str">
            <v>Intel® Core™ i5-1340P EVO /  /  / 16GB LPDDR5  / 512GB PCIe® 4.0 / 14.0-inch / 2.8K (2880 x 1800) OLED 16:10 touch / 90Hz refresh rate / Foggy Silver / NumberPad /  / IR camera / Backlit KB / Win 11 Home / MS Office / Sleeve / Stylus</v>
          </cell>
          <cell r="H641">
            <v>59493</v>
          </cell>
          <cell r="I641">
            <v>48149</v>
          </cell>
          <cell r="J641">
            <v>53893</v>
          </cell>
          <cell r="K641">
            <v>43617</v>
          </cell>
          <cell r="L641">
            <v>5600</v>
          </cell>
          <cell r="M641">
            <v>4532</v>
          </cell>
          <cell r="N641" t="str">
            <v>01 - 29 MARCH</v>
          </cell>
          <cell r="O641" t="str">
            <v>(NB20260315)_Mar_Sellout Support_RF _Asus_Select</v>
          </cell>
        </row>
        <row r="642">
          <cell r="C642" t="str">
            <v>RF S3407VA-LY039WS</v>
          </cell>
          <cell r="E642" t="str">
            <v>S3407VA-LY039WS</v>
          </cell>
          <cell r="F642" t="str">
            <v>90NB1681-M00270</v>
          </cell>
          <cell r="G642" t="str">
            <v xml:space="preserve">INTEL I7-13620H / DDR5 8G+8G[ON BD.] / 512GB PCIe® 4.0 SSD / 14.0-inch / 14" WUXGA ANTI-GLARE NON-TOUCH,300NITS,NTSC:45%,VIPS-NB(LY) /  / 2S-COOL SILVER / Backlit KB / Win 11 Home / MS Office 2024 + MSO 365 / </v>
          </cell>
          <cell r="H642">
            <v>56792</v>
          </cell>
          <cell r="I642">
            <v>45963</v>
          </cell>
          <cell r="J642">
            <v>53992</v>
          </cell>
          <cell r="K642">
            <v>43697</v>
          </cell>
          <cell r="L642">
            <v>2800</v>
          </cell>
          <cell r="M642">
            <v>2266</v>
          </cell>
          <cell r="N642" t="str">
            <v>01 - 29 MARCH</v>
          </cell>
          <cell r="O642" t="str">
            <v>(NB20260315)_Mar_Sellout Support_RF _Asus_Select</v>
          </cell>
        </row>
        <row r="643">
          <cell r="C643" t="str">
            <v>RF S3407VA-LY040WS</v>
          </cell>
          <cell r="E643" t="str">
            <v>S3407VA-LY040WS</v>
          </cell>
          <cell r="F643" t="str">
            <v>90NB1682-M00280</v>
          </cell>
          <cell r="G643" t="str">
            <v xml:space="preserve">INTEL I7-13620H / DDR5 8G+8G[ON BD.] / 512GB PCIe® 4.0 SSD / 14.0-inch / 14" WUXGA ANTI-GLARE NON-TOUCH,300NITS,NTSC:45%,VIPS-NB(LY) /  / 2G-MATTE GRAY / Backlit KB / Win 11 Home / MS Office 2024 + MSO 365 / </v>
          </cell>
          <cell r="H643">
            <v>56792</v>
          </cell>
          <cell r="I643">
            <v>45963</v>
          </cell>
          <cell r="J643">
            <v>53992</v>
          </cell>
          <cell r="K643">
            <v>43697</v>
          </cell>
          <cell r="L643">
            <v>2800</v>
          </cell>
          <cell r="M643">
            <v>2266</v>
          </cell>
          <cell r="N643" t="str">
            <v>01 - 29 MARCH</v>
          </cell>
          <cell r="O643" t="str">
            <v>(NB20260315)_Mar_Sellout Support_RF _Asus_Select</v>
          </cell>
        </row>
        <row r="644">
          <cell r="C644" t="str">
            <v>RF FX677VB-RL095W</v>
          </cell>
          <cell r="E644" t="str">
            <v>FX677VB-RL095W</v>
          </cell>
          <cell r="F644" t="str">
            <v>90NR0NF6-M005J0</v>
          </cell>
          <cell r="G644" t="str">
            <v>Intel Core5/ RTX3050A- 4GB/ DDR4 16GB/ 512GB PCIe® 4.0 NVMe™ M.2 SSD/ 16.0 WUXGA ANTI-GLARE NON-TOUCH,300NITS/B,NTSC:45%(144HZ),VIPS-NB(RL)/ Backlit Chiclet Keyboard 1-Zone RGB
With Copilot key/ 56WHrs, 4S1P, 4-cell Li-ion/ Win 11/ X/ / McAfee® 1 year/ Gray</v>
          </cell>
          <cell r="H644">
            <v>58392</v>
          </cell>
          <cell r="I644">
            <v>47258</v>
          </cell>
          <cell r="J644">
            <v>54392</v>
          </cell>
          <cell r="K644">
            <v>44021</v>
          </cell>
          <cell r="L644">
            <v>4000</v>
          </cell>
          <cell r="M644">
            <v>3237</v>
          </cell>
          <cell r="N644" t="str">
            <v>01 - 15 MARCH</v>
          </cell>
          <cell r="O644" t="str">
            <v>(NR260304) Asus your vibe your color your Deal _Sellout Support_RF _Select Store</v>
          </cell>
        </row>
        <row r="645">
          <cell r="C645" t="str">
            <v>RF M1407KA-LY111WS</v>
          </cell>
          <cell r="E645" t="str">
            <v>M1407KA-LY111WS</v>
          </cell>
          <cell r="F645" t="str">
            <v>90NB15H3-M005V0</v>
          </cell>
          <cell r="G645" t="str">
            <v xml:space="preserve">AMD RYZEN AI 7 350 / DDR5 16G[ON BD.] / 512G PCIE G4 / 14.0-inch / 14" WUXGA ANTI-GLARE NON-TOUCH,300NITS,NTSC:45%,VIPS-NB(MB) /  / 1S-COOL SILVER / Backlit KB / Win 11 Home / MS Office 2024 + MSO 365 / </v>
          </cell>
          <cell r="H645">
            <v>60792</v>
          </cell>
          <cell r="I645">
            <v>49200</v>
          </cell>
          <cell r="J645">
            <v>54492</v>
          </cell>
          <cell r="K645">
            <v>44102</v>
          </cell>
          <cell r="L645">
            <v>6300</v>
          </cell>
          <cell r="M645">
            <v>5098</v>
          </cell>
          <cell r="N645" t="str">
            <v>01 - 29 MARCH</v>
          </cell>
          <cell r="O645" t="str">
            <v>(NB20260315)_Mar_Sellout Support_RF _Asus_Select</v>
          </cell>
        </row>
        <row r="646">
          <cell r="C646" t="str">
            <v>RF M1407KA-LY112WS</v>
          </cell>
          <cell r="E646" t="str">
            <v>M1407KA-LY112WS</v>
          </cell>
          <cell r="F646" t="str">
            <v>90NB15H1-M005W0</v>
          </cell>
          <cell r="G646" t="str">
            <v xml:space="preserve">AMD RYZEN AI 7 350 / DDR5 16G[ON BD.] / 512G PCIE G4 / 14.0-inch / 14" WUXGA ANTI-GLARE NON-TOUCH,300NITS,NTSC:45%,VIPS-NB(MB) /  / 1B-QUIET BLUE / Backlit KB / Win 11 Home / MS Office 2024 + MSO 365 / </v>
          </cell>
          <cell r="H646">
            <v>60792</v>
          </cell>
          <cell r="I646">
            <v>49200</v>
          </cell>
          <cell r="J646">
            <v>54492</v>
          </cell>
          <cell r="K646">
            <v>44102</v>
          </cell>
          <cell r="L646">
            <v>6300</v>
          </cell>
          <cell r="M646">
            <v>5098</v>
          </cell>
          <cell r="N646" t="str">
            <v>01 - 29 MARCH</v>
          </cell>
          <cell r="O646" t="str">
            <v>(NB20260315)_Mar_Sellout Support_RF _Asus_Select</v>
          </cell>
        </row>
        <row r="647">
          <cell r="C647" t="str">
            <v>RF M1607KA-MB109WS</v>
          </cell>
          <cell r="E647" t="str">
            <v>M1607KA-MB109WS</v>
          </cell>
          <cell r="F647" t="str">
            <v>90NB15F1-M00670</v>
          </cell>
          <cell r="G647" t="str">
            <v xml:space="preserve">AMD Ryzen™ AI 7 350 /  /  /  / DDR5 16G[ON BD.] / 512G PCIE G4 / 16.0-inch / 16" WUXGA ANTI-GLARE NON-TOUCH,300NITS,NTSC:45%,VIPS-NB(MB) /  / 1B-QUIET BLUE /  /  /  / Backlit KB / Win 11 Home / MS Office 2024 + MSO 365 / </v>
          </cell>
          <cell r="H647">
            <v>60792</v>
          </cell>
          <cell r="I647">
            <v>49200</v>
          </cell>
          <cell r="J647">
            <v>54492</v>
          </cell>
          <cell r="K647">
            <v>44102</v>
          </cell>
          <cell r="L647">
            <v>6300</v>
          </cell>
          <cell r="M647">
            <v>5098</v>
          </cell>
          <cell r="N647" t="str">
            <v>01 - 29 MARCH</v>
          </cell>
          <cell r="O647" t="str">
            <v>(NB20260315)_Mar_Sellout Support_RF _Asus_Select</v>
          </cell>
        </row>
        <row r="648">
          <cell r="C648" t="str">
            <v>RF M1607KA-MB134WS</v>
          </cell>
          <cell r="E648" t="str">
            <v>M1607KA-MB134WS</v>
          </cell>
          <cell r="F648" t="str">
            <v>90NB15F2-M009M0</v>
          </cell>
          <cell r="G648" t="str">
            <v xml:space="preserve">AMD RYZEN AI 7 350 / DDR5 16G[ON BD.] / 512G PCIE G4 / 16.0-inch / 16" WUXGA ANTI-GLARE NON-TOUCH,300NITS,NTSC:45%,VIPS-NB(MB) /  / Cool Silver / Backlit KB / Win 11 Home / MS Office 2024 + MSO 365 / </v>
          </cell>
          <cell r="H648">
            <v>60792</v>
          </cell>
          <cell r="I648">
            <v>49200</v>
          </cell>
          <cell r="J648">
            <v>54492</v>
          </cell>
          <cell r="K648">
            <v>44102</v>
          </cell>
          <cell r="L648">
            <v>6300</v>
          </cell>
          <cell r="M648">
            <v>5098</v>
          </cell>
          <cell r="N648" t="str">
            <v>01 - 29 MARCH</v>
          </cell>
          <cell r="O648" t="str">
            <v>(NB20260315)_Mar_Sellout Support_RF _Asus_Select</v>
          </cell>
        </row>
        <row r="649">
          <cell r="C649" t="str">
            <v>RF S3607VA-RP113WS</v>
          </cell>
          <cell r="E649" t="str">
            <v>S3607VA-RP113WS</v>
          </cell>
          <cell r="F649" t="str">
            <v>90NB1672-M00880</v>
          </cell>
          <cell r="G649" t="str">
            <v xml:space="preserve">INTEL CORE 5 210H / DDR5 8G+8G[ON BD.] / 512GB PCIe® 4.0 SSD / 16.0-inch / 16" WUXGA ANTI-GLARE NON-TOUCH,300NITS,NTSC:45%(144HZ),VIPS-NB(RP) /  / 2G-MATTE GRAY / Backlit KB / Win 11 Home / MS Office 2024 + MSO 365 / </v>
          </cell>
          <cell r="H649">
            <v>55192</v>
          </cell>
          <cell r="I649">
            <v>44668</v>
          </cell>
          <cell r="J649">
            <v>54492</v>
          </cell>
          <cell r="K649">
            <v>44102</v>
          </cell>
          <cell r="L649">
            <v>700</v>
          </cell>
          <cell r="M649">
            <v>566</v>
          </cell>
          <cell r="N649" t="str">
            <v>01 - 29 MARCH</v>
          </cell>
          <cell r="O649" t="str">
            <v>(NB20260315)_Mar_Sellout Support_RF _Asus_Select</v>
          </cell>
        </row>
        <row r="650">
          <cell r="C650" t="str">
            <v>RF S3607VA-RP114WS</v>
          </cell>
          <cell r="E650" t="str">
            <v>S3607VA-RP114WS</v>
          </cell>
          <cell r="F650" t="str">
            <v>90NB1671-M008D0</v>
          </cell>
          <cell r="G650" t="str">
            <v xml:space="preserve">INTEL CORE 5 210H / DDR5 8G+8G[ON BD.] / 512GB PCIe® 4.0 SSD / 16.0-inch / 16" WUXGA ANTI-GLARE NON-TOUCH,300NITS,NTSC:45%(144HZ),VIPS-NB(RP) /  / Cool Silver / Backlit KB / Win 11 Home / MS Office 2024 + MSO 365 / </v>
          </cell>
          <cell r="H650">
            <v>55192</v>
          </cell>
          <cell r="I650">
            <v>44668</v>
          </cell>
          <cell r="J650">
            <v>54492</v>
          </cell>
          <cell r="K650">
            <v>44102</v>
          </cell>
          <cell r="L650">
            <v>700</v>
          </cell>
          <cell r="M650">
            <v>566</v>
          </cell>
          <cell r="N650" t="str">
            <v>01 - 29 MARCH</v>
          </cell>
          <cell r="O650" t="str">
            <v>(NB20260315)_Mar_Sellout Support_RF _Asus_Select</v>
          </cell>
        </row>
        <row r="651">
          <cell r="C651" t="str">
            <v>RF X1502VA-BQ1298WS</v>
          </cell>
          <cell r="E651" t="str">
            <v>X1502VA-BQ1298WS</v>
          </cell>
          <cell r="F651" t="str">
            <v>90NB10T1-M01UP0</v>
          </cell>
          <cell r="G651" t="str">
            <v xml:space="preserve">INTEL I7-13620H / DDR4 8G+8GB / 1TB PCIEG4 / 15.6-inch / 15.6" FHD ANTI-GLARE NON-TOUCH,250NITS,NTSC:45%,VIPS-NB(BQ) /  / 1B-QUIET BLUE / Backlit KB / Win 11 Home / OFFICE HOME 2024 (IN)+M365 BASIC / </v>
          </cell>
          <cell r="H651">
            <v>55192</v>
          </cell>
          <cell r="I651">
            <v>44668</v>
          </cell>
          <cell r="J651">
            <v>54492</v>
          </cell>
          <cell r="K651">
            <v>44102</v>
          </cell>
          <cell r="L651">
            <v>700</v>
          </cell>
          <cell r="M651">
            <v>566</v>
          </cell>
          <cell r="N651" t="str">
            <v>01 - 29 MARCH</v>
          </cell>
          <cell r="O651" t="str">
            <v>(NB20260315)_Mar_Sellout Support_RF _Asus_Select</v>
          </cell>
        </row>
        <row r="652">
          <cell r="C652" t="str">
            <v>RF X1502VA-BQ1299WS</v>
          </cell>
          <cell r="E652" t="str">
            <v>X1502VA-BQ1299WS</v>
          </cell>
          <cell r="F652" t="str">
            <v>90NB10T2-M01UR0</v>
          </cell>
          <cell r="G652" t="str">
            <v xml:space="preserve">INTEL I7-13620H / DDR4 8G+8GB / 1TB PCIEG4 / 15.6-inch / 15.6" FHD ANTI-GLARE NON-TOUCH,250NITS,NTSC:45%,VIPS-NB(BQ) /  / 1S-COOL SILVER / Backlit KB / Win 11 Home / OFFICE HOME 2024 (IN)+M365 BASIC / </v>
          </cell>
          <cell r="H652">
            <v>55192</v>
          </cell>
          <cell r="I652">
            <v>44668</v>
          </cell>
          <cell r="J652">
            <v>54492</v>
          </cell>
          <cell r="K652">
            <v>44102</v>
          </cell>
          <cell r="L652">
            <v>700</v>
          </cell>
          <cell r="M652">
            <v>566</v>
          </cell>
          <cell r="N652" t="str">
            <v>01 - 29 MARCH</v>
          </cell>
          <cell r="O652" t="str">
            <v>(NB20260315)_Mar_Sellout Support_RF _Asus_Select</v>
          </cell>
        </row>
        <row r="653">
          <cell r="C653" t="str">
            <v>RF K3502ZA-L702WS</v>
          </cell>
          <cell r="E653" t="str">
            <v>K3502ZA-L702WS</v>
          </cell>
          <cell r="F653" t="str">
            <v>90NB0WK2-M00420</v>
          </cell>
          <cell r="G653" t="str">
            <v xml:space="preserve">Intel® Core™ i7-12700H / EVO / 16GB DDDR4 / 512GB 4.0 SSD / 15.6-inch / FHD OLED  /  / Indie Black / Intel® Evo™ Platform / FingerPrint / 70WHrs battery / Backlit Keyboard /  / MS Office  / </v>
          </cell>
          <cell r="H653">
            <v>55293</v>
          </cell>
          <cell r="I653">
            <v>44750</v>
          </cell>
          <cell r="J653">
            <v>54593</v>
          </cell>
          <cell r="K653">
            <v>44183</v>
          </cell>
          <cell r="L653">
            <v>700</v>
          </cell>
          <cell r="M653">
            <v>567</v>
          </cell>
          <cell r="N653" t="str">
            <v>01 - 29 MARCH</v>
          </cell>
          <cell r="O653" t="str">
            <v>(NB20260315)_Mar_Sellout Support_RF _Asus_Select</v>
          </cell>
        </row>
        <row r="654">
          <cell r="C654" t="str">
            <v>RF S3502ZA-L701WS</v>
          </cell>
          <cell r="E654" t="str">
            <v>S3502ZA-L701WS</v>
          </cell>
          <cell r="F654" t="str">
            <v>90NB0WK1-M00AA0</v>
          </cell>
          <cell r="G654" t="str">
            <v xml:space="preserve">Intel® Core™ i7-12700H / EVO / 16GB DDDR4 / 512GB 4.0 SSD / 15.6-inch / FHD OLED  /  / Neutral Grey / Intel® Evo™ Platform / FingerPrint / 70WHrs battery / Backlit Keyboard /  / MS Office  / </v>
          </cell>
          <cell r="H654">
            <v>55293</v>
          </cell>
          <cell r="I654">
            <v>44750</v>
          </cell>
          <cell r="J654">
            <v>54593</v>
          </cell>
          <cell r="K654">
            <v>44183</v>
          </cell>
          <cell r="L654">
            <v>700</v>
          </cell>
          <cell r="M654">
            <v>567</v>
          </cell>
          <cell r="N654" t="str">
            <v>01 - 29 MARCH</v>
          </cell>
          <cell r="O654" t="str">
            <v>(NB20260315)_Mar_Sellout Support_RF _Asus_Select</v>
          </cell>
        </row>
        <row r="655">
          <cell r="C655" t="str">
            <v>RF FA506NCG-HN200WS</v>
          </cell>
          <cell r="E655" t="str">
            <v>FA506NCG-HN200WS</v>
          </cell>
          <cell r="F655" t="str">
            <v>90NR0JF7-M00FY0</v>
          </cell>
          <cell r="G655" t="str">
            <v>R7-7445HS/RTX3050 4GB/16GB DDR5 /512G PCIEG4/15.6 FHD ANTI-GLARE NON-TOUCH,250NITS,NTSC:45%(144HZ),VIPS-NB(HN)/Backlit Chiclet Keyboard 1-Zone RGB/48WHrs, 3S1P, 3-cell Li-ion/OFFICE HOME 2024 (IN)+M365 BASIC//Black</v>
          </cell>
          <cell r="H655">
            <v>63192</v>
          </cell>
          <cell r="I655">
            <v>51143</v>
          </cell>
          <cell r="J655">
            <v>55192</v>
          </cell>
          <cell r="K655">
            <v>44668</v>
          </cell>
          <cell r="L655">
            <v>8000</v>
          </cell>
          <cell r="M655">
            <v>6475</v>
          </cell>
          <cell r="N655" t="str">
            <v>01 - 15 MARCH</v>
          </cell>
          <cell r="O655" t="str">
            <v>(NR260304) Asus your vibe your color your Deal _Sellout Support_RF _Select Store</v>
          </cell>
        </row>
        <row r="656">
          <cell r="C656" t="str">
            <v>RF FX607VB-RL076WS</v>
          </cell>
          <cell r="E656" t="str">
            <v>FX607VB-RL076WS</v>
          </cell>
          <cell r="F656" t="str">
            <v>90NR0NF6-M004X0</v>
          </cell>
          <cell r="G656" t="str">
            <v>Intel Core5/ RTX3050A- 4GB/ DDR4 16GB/ 512GB PCIe® 4.0 NVMe™ M.2 SSD/ FHD+ 16:10 (1920 x 1200, WUXGA)/16-inch/144Hz/ Backlit Chiclet Keyboard 1-Zone RGB
With Copilot key_x000D_
*Copilot in Windows (in preview) is rolling out gradually within the latest update to Windows 11 in select global markets. Timing of availability varies by device and market. Learn more: https://www.microsoft.com/en-us/windows/copilot-ai-features?r=1#faq/ 56WHrs, 4S1P, 4-cell Li-ion/ Windows 11 Home/ OFFICE HOME 2024 &amp; M365 BASIC 1 Year/ / McAfee® 1 year/ Mecha Gray</v>
          </cell>
          <cell r="H656">
            <v>59992</v>
          </cell>
          <cell r="I656">
            <v>48553</v>
          </cell>
          <cell r="J656">
            <v>55192</v>
          </cell>
          <cell r="K656">
            <v>44668</v>
          </cell>
          <cell r="L656">
            <v>4800</v>
          </cell>
          <cell r="M656">
            <v>3885</v>
          </cell>
          <cell r="N656" t="str">
            <v>01 - 15 MARCH</v>
          </cell>
          <cell r="O656" t="str">
            <v>(NR260304) Asus your vibe your color your Deal _Sellout Support_RF _Select Store</v>
          </cell>
        </row>
        <row r="657">
          <cell r="C657" t="str">
            <v>RF FX607VB-RL087WS</v>
          </cell>
          <cell r="E657" t="str">
            <v>FX607VB-RL087WS</v>
          </cell>
          <cell r="F657" t="str">
            <v>90NR0NF6-M00590</v>
          </cell>
          <cell r="G657" t="str">
            <v>Intel Core5/ RTX3050A- 4GB/ DDR4 16GB/ 512GB PCIe® 4.0 NVMe™ M.2 SSD/ FHD+ 16:10 (1920 x 1200, WUXGA)/16-inch/144Hz/ Backlit Chiclet Keyboard 1-Zone RGB
With Copilot key
*Copilot in Windows (in preview) is rolling out gradually within the latest update to Windows 11 in select global markets. Timing of availability varies by device and market. Learn more: https://www.microsoft.com/en-us/windows/copilot-ai-features?r=1#faq/ 56WHrs, 4S1P, 4-cell Li-ion/ Windows 11 Home/ OFFICE HOME 2024 &amp; M365 BASIC 1 Year/ / McAfee® 1 year/ Mecha Gray</v>
          </cell>
          <cell r="H657">
            <v>59992</v>
          </cell>
          <cell r="I657">
            <v>48553</v>
          </cell>
          <cell r="J657">
            <v>55192</v>
          </cell>
          <cell r="K657">
            <v>44668</v>
          </cell>
          <cell r="L657">
            <v>4800</v>
          </cell>
          <cell r="M657">
            <v>3885</v>
          </cell>
          <cell r="N657" t="str">
            <v>01 - 15 MARCH</v>
          </cell>
          <cell r="O657" t="str">
            <v>(NR260304) Asus your vibe your color your Deal _Sellout Support_RF _Select Store</v>
          </cell>
        </row>
        <row r="658">
          <cell r="C658" t="str">
            <v>RF M3407KA-SF044WS</v>
          </cell>
          <cell r="E658" t="str">
            <v>M3407KA-SF044WS</v>
          </cell>
          <cell r="F658" t="str">
            <v>90NB16P1-M00250</v>
          </cell>
          <cell r="G658" t="str">
            <v xml:space="preserve">AMD RYZEN AI 5 330 / DDR5 16G[ON BD.] / 512GB PCIe® 4.0 SSD / 14.0-inch / 14" OLED WUXGA BEND GLARE NON-TOUCH,300NITS,DCI-P3:95%-NB(SF) /  / 2G-MATTE GRAY / Backlit KB / Win 11 Home / MS Office 2024 + MSO 365 / </v>
          </cell>
          <cell r="H658">
            <v>60792</v>
          </cell>
          <cell r="I658">
            <v>49200</v>
          </cell>
          <cell r="J658">
            <v>55192</v>
          </cell>
          <cell r="K658">
            <v>44668</v>
          </cell>
          <cell r="L658">
            <v>5600</v>
          </cell>
          <cell r="M658">
            <v>4532</v>
          </cell>
          <cell r="N658" t="str">
            <v>01 - 29 MARCH</v>
          </cell>
          <cell r="O658" t="str">
            <v>(NB20260315)_Mar_Sellout Support_RF _Asus_Select</v>
          </cell>
        </row>
        <row r="659">
          <cell r="C659" t="str">
            <v>RF M3407KA-SF2501WS</v>
          </cell>
          <cell r="E659" t="str">
            <v>M3407KA-SF2501WS</v>
          </cell>
          <cell r="F659" t="str">
            <v>90NB16P2-M000D0</v>
          </cell>
          <cell r="G659" t="str">
            <v xml:space="preserve">AMD RYZEN AI 5 330 / DDR5 16G[ON BD.] / 512GB PCIe® 4.0 SSD / 14.0-inch / 14" OLED WUXGA BEND GLARE NON-TOUCH,300NITS,DCI-P3:95%-NB(SF) /  / 2S-COOL SILVER / Backlit KB / Win 11 Home / MS Office 2024 + MSO 365 / </v>
          </cell>
          <cell r="H659">
            <v>60792</v>
          </cell>
          <cell r="I659">
            <v>49200</v>
          </cell>
          <cell r="J659">
            <v>55192</v>
          </cell>
          <cell r="K659">
            <v>44668</v>
          </cell>
          <cell r="L659">
            <v>5600</v>
          </cell>
          <cell r="M659">
            <v>4532</v>
          </cell>
          <cell r="N659" t="str">
            <v>01 - 29 MARCH</v>
          </cell>
          <cell r="O659" t="str">
            <v>(NB20260315)_Mar_Sellout Support_RF _Asus_Select</v>
          </cell>
        </row>
        <row r="660">
          <cell r="C660" t="str">
            <v>RF S3607QA-SH074WS</v>
          </cell>
          <cell r="E660" t="str">
            <v>S3607QA-SH074WS</v>
          </cell>
          <cell r="F660" t="str">
            <v>90NB16C2-M00560</v>
          </cell>
          <cell r="G660" t="str">
            <v xml:space="preserve">SNAPDRAGON X X126100 / LPDDR5X 16G [ON BD.] / 512G PCIE G4 / 16.0-inch / 16" OLED WUXGA BEND GLARE NON-TOUCH,300NITS,DCI-P3:95%-NB(SH) /  / MATTE GRAY / Backlit KB / Win 11 Home / MS Office 2024 + MSO 365 / </v>
          </cell>
          <cell r="H660">
            <v>61592</v>
          </cell>
          <cell r="I660">
            <v>49848</v>
          </cell>
          <cell r="J660">
            <v>55292</v>
          </cell>
          <cell r="K660">
            <v>44749</v>
          </cell>
          <cell r="L660">
            <v>6300</v>
          </cell>
          <cell r="M660">
            <v>5099</v>
          </cell>
          <cell r="N660" t="str">
            <v>01 - 29 MARCH</v>
          </cell>
          <cell r="O660" t="str">
            <v>(NB20260315)_Mar_Sellout Support_RF _Asus_Select</v>
          </cell>
        </row>
        <row r="661">
          <cell r="C661" t="str">
            <v>RF S3607QA-SH075WS</v>
          </cell>
          <cell r="E661" t="str">
            <v>S3607QA-SH075WS</v>
          </cell>
          <cell r="F661" t="str">
            <v>90NB16C1-M00570</v>
          </cell>
          <cell r="G661" t="str">
            <v xml:space="preserve">SNAPDRAGON X X126100 / LPDDR5X 16G [ON BD.] / 512G PCIE G4 / 16.0-inch / 16" OLED WUXGA BEND GLARE NON-TOUCH,300NITS,DCI-P3:95%-NB(SH) /  / COOL SILVER / Backlit KB / Win 11 Home / MS Office 2024 + MSO 365 / </v>
          </cell>
          <cell r="H661">
            <v>61592</v>
          </cell>
          <cell r="I661">
            <v>49848</v>
          </cell>
          <cell r="J661">
            <v>55292</v>
          </cell>
          <cell r="K661">
            <v>44749</v>
          </cell>
          <cell r="L661">
            <v>6300</v>
          </cell>
          <cell r="M661">
            <v>5099</v>
          </cell>
          <cell r="N661" t="str">
            <v>01 - 29 MARCH</v>
          </cell>
          <cell r="O661" t="str">
            <v>(NB20260315)_Mar_Sellout Support_RF _Asus_Select</v>
          </cell>
        </row>
        <row r="662">
          <cell r="C662" t="str">
            <v>RF S3607QA-SH078WS</v>
          </cell>
          <cell r="E662" t="str">
            <v>S3607QA-SH078WS</v>
          </cell>
          <cell r="F662" t="str">
            <v>90NB16C3-M005F0</v>
          </cell>
          <cell r="G662" t="str">
            <v xml:space="preserve">SNAPDRAGON X X126100 / LPDDR5X 16G [ON BD.] / 512G PCIE G4 / 16.0-inch / 16" OLED WUXGA BEND GLARE NON-TOUCH,300NITS,DCI-P3:95%-NB(SH) /  / PINK / Backlit KB / Win 11 Home / MS Office 2024 + MSO 365 / </v>
          </cell>
          <cell r="H662">
            <v>61592</v>
          </cell>
          <cell r="I662">
            <v>49848</v>
          </cell>
          <cell r="J662">
            <v>55292</v>
          </cell>
          <cell r="K662">
            <v>44749</v>
          </cell>
          <cell r="L662">
            <v>6300</v>
          </cell>
          <cell r="M662">
            <v>5099</v>
          </cell>
          <cell r="N662" t="str">
            <v>01 - 29 MARCH</v>
          </cell>
          <cell r="O662" t="str">
            <v>(NB20260315)_Mar_Sellout Support_RF _Asus_Select</v>
          </cell>
        </row>
        <row r="663">
          <cell r="C663" t="str">
            <v>RF S3607QA-SH079WS</v>
          </cell>
          <cell r="E663" t="str">
            <v>S3607QA-SH079WS</v>
          </cell>
          <cell r="F663" t="str">
            <v>90NB16C4-M005H0</v>
          </cell>
          <cell r="G663" t="str">
            <v xml:space="preserve">SNAPDRAGON X X126100 / LPDDR5X 16G [ON BD.] / 512G PCIE G4 / 16.0-inch / 16" OLED WUXGA BEND GLARE NON-TOUCH,300NITS,DCI-P3:95%-NB(SH) /  / Green / Backlit KB / Win 11 Home / MS Office 2024 + MSO 365 / </v>
          </cell>
          <cell r="H663">
            <v>61592</v>
          </cell>
          <cell r="I663">
            <v>49848</v>
          </cell>
          <cell r="J663">
            <v>55292</v>
          </cell>
          <cell r="K663">
            <v>44749</v>
          </cell>
          <cell r="L663">
            <v>6300</v>
          </cell>
          <cell r="M663">
            <v>5099</v>
          </cell>
          <cell r="N663" t="str">
            <v>01 - 29 MARCH</v>
          </cell>
          <cell r="O663" t="str">
            <v>(NB20260315)_Mar_Sellout Support_RF _Asus_Select</v>
          </cell>
        </row>
        <row r="664">
          <cell r="C664" t="str">
            <v>RF S3607VA-RP060WS</v>
          </cell>
          <cell r="E664" t="str">
            <v>S3607VA-RP060WS</v>
          </cell>
          <cell r="F664" t="str">
            <v>90NB1672-M004U0</v>
          </cell>
          <cell r="G664" t="str">
            <v xml:space="preserve">INTEL I7-13620H / DDR5 8G+8G[ON BD.] / 512GB PCIe® 4.0 SSD / 16.0-inch / 16" WUXGA ANTI-GLARE NON-TOUCH,300NITS,NTSC:45%(144HZ),VIPS-NB(RP) /  / 2G-MATTE GRAY / Backlit KB / Win 11 Home / MS Office 2024 + MSO 365 / </v>
          </cell>
          <cell r="H664">
            <v>60792</v>
          </cell>
          <cell r="I664">
            <v>49200</v>
          </cell>
          <cell r="J664">
            <v>55892</v>
          </cell>
          <cell r="K664">
            <v>45235</v>
          </cell>
          <cell r="L664">
            <v>4900</v>
          </cell>
          <cell r="M664">
            <v>3965</v>
          </cell>
          <cell r="N664" t="str">
            <v>01 - 29 MARCH</v>
          </cell>
          <cell r="O664" t="str">
            <v>(NB20260315)_Mar_Sellout Support_RF _Asus_Select</v>
          </cell>
        </row>
        <row r="665">
          <cell r="C665" t="str">
            <v>RF S3607VA-RP083WS</v>
          </cell>
          <cell r="E665" t="str">
            <v>S3607VA-RP083WS</v>
          </cell>
          <cell r="F665" t="str">
            <v>90NB1671-M006D0</v>
          </cell>
          <cell r="G665" t="str">
            <v xml:space="preserve">INTEL I7-13620H / DDR5 8G+8G[ON BD.] / 512GB PCIe® 4.0 SSD / 16.0-inch / 16" WUXGA ANTI-GLARE NON-TOUCH,300NITS,NTSC:45%(144HZ),VIPS-NB(RP) /  / Cool Silver / Backlit KB / Win 11 Home / MS Office 2024 + MSO 365 / </v>
          </cell>
          <cell r="H665">
            <v>60792</v>
          </cell>
          <cell r="I665">
            <v>49200</v>
          </cell>
          <cell r="J665">
            <v>55892</v>
          </cell>
          <cell r="K665">
            <v>45235</v>
          </cell>
          <cell r="L665">
            <v>4900</v>
          </cell>
          <cell r="M665">
            <v>3965</v>
          </cell>
          <cell r="N665" t="str">
            <v>01 - 29 MARCH</v>
          </cell>
          <cell r="O665" t="str">
            <v>(NB20260315)_Mar_Sellout Support_RF _Asus_Select</v>
          </cell>
        </row>
        <row r="666">
          <cell r="C666" t="str">
            <v>RF X1605VA-SH2010WS</v>
          </cell>
          <cell r="E666" t="str">
            <v>X1605VA-SH2010WS</v>
          </cell>
          <cell r="F666" t="str">
            <v>90NB10N2-M02FX0</v>
          </cell>
          <cell r="G666" t="str">
            <v xml:space="preserve">INTEL I7-13620H / DDR4 8G+8GB / 512G PCIE G4 / 16.0-inch / 16" OLED WUXGA BEND GLARE NON-TOUCH,300NITS,DCI-P3:95%-NB(SH) /  / 1S-TRANSPARENT SILVER / Backlit KB / Win 11 Home / OFFICE HOME 24(IN)+M365 BASIC / </v>
          </cell>
          <cell r="H666">
            <v>60792</v>
          </cell>
          <cell r="I666">
            <v>49200</v>
          </cell>
          <cell r="J666">
            <v>55892</v>
          </cell>
          <cell r="K666">
            <v>45235</v>
          </cell>
          <cell r="L666">
            <v>4900</v>
          </cell>
          <cell r="M666">
            <v>3965</v>
          </cell>
          <cell r="N666" t="str">
            <v>01 - 29 MARCH</v>
          </cell>
          <cell r="O666" t="str">
            <v>(NB20260315)_Mar_Sellout Support_RF _Asus_Select</v>
          </cell>
        </row>
        <row r="667">
          <cell r="C667" t="str">
            <v>RF S5406SA-QD098WS</v>
          </cell>
          <cell r="E667" t="str">
            <v>S5406SA-QD098WS</v>
          </cell>
          <cell r="F667" t="str">
            <v>90NB15R2-M00DB0</v>
          </cell>
          <cell r="G667" t="str">
            <v xml:space="preserve">INTEL CORE ULTRA 5 226V / EVO /  /  / 16GB LPDDR5X  / 512G PCIE G4 / 14.0-inch / 14" OLED WUXGA BEND GLARE NON-TOUCH,400NITS(HDR),DCI-P3:100%-NB(QD) /  / Mist Blue / RGB Backlit KB / Win 11 Home / Office Home 2024 &amp; M365 Basic 1 Year / </v>
          </cell>
          <cell r="H667">
            <v>64393</v>
          </cell>
          <cell r="I667">
            <v>52115</v>
          </cell>
          <cell r="J667">
            <v>55993</v>
          </cell>
          <cell r="K667">
            <v>45316</v>
          </cell>
          <cell r="L667">
            <v>8400</v>
          </cell>
          <cell r="M667">
            <v>6799</v>
          </cell>
          <cell r="N667" t="str">
            <v>01 - 29 MARCH</v>
          </cell>
          <cell r="O667" t="str">
            <v>(NB20260315)_Mar_Sellout Support_RF _Asus_Select</v>
          </cell>
        </row>
        <row r="668">
          <cell r="C668" t="str">
            <v>RF S5504VA-MA941WS</v>
          </cell>
          <cell r="E668" t="str">
            <v>S5504VA-MA941WS</v>
          </cell>
          <cell r="F668" t="str">
            <v>90NB0ZK1-M00710</v>
          </cell>
          <cell r="G668" t="str">
            <v xml:space="preserve">Intel® Core™ i9-13900H / EVO /  /  / 16GB LPDDR5  / 512GB PCIe® 4.0 SSD / 15.6-inch / 3K (2880 x 1620) OLED 16:9  /  / Solar Blue /  /  / FingerPrint / Backlit KB / Win 11 Home / MS Office / </v>
          </cell>
          <cell r="H668">
            <v>62993</v>
          </cell>
          <cell r="I668">
            <v>50982</v>
          </cell>
          <cell r="J668">
            <v>55993</v>
          </cell>
          <cell r="K668">
            <v>45316</v>
          </cell>
          <cell r="L668">
            <v>7000</v>
          </cell>
          <cell r="M668">
            <v>5666</v>
          </cell>
          <cell r="N668" t="str">
            <v>01 - 29 MARCH</v>
          </cell>
          <cell r="O668" t="str">
            <v>(NB20260315)_Mar_Sellout Support_RF _Asus_Select</v>
          </cell>
        </row>
        <row r="669">
          <cell r="C669" t="str">
            <v>RF S5504VA-MA943WS</v>
          </cell>
          <cell r="E669" t="str">
            <v>S5504VA-MA943WS</v>
          </cell>
          <cell r="F669" t="str">
            <v>90NB0ZK3-M00700</v>
          </cell>
          <cell r="G669" t="str">
            <v xml:space="preserve">Intel® Core™ i9-13900H / EVO /  /  / 16GB LPDDR5  / 512GB PCIe® 4.0 SSD / 15.6-inch / 3K (2880 x 1620) OLED 16:9  /  / Cool Silver /  /  / FingerPrint / Backlit KB / Win 11 Home / MS Office / </v>
          </cell>
          <cell r="H669">
            <v>62993</v>
          </cell>
          <cell r="I669">
            <v>50982</v>
          </cell>
          <cell r="J669">
            <v>55993</v>
          </cell>
          <cell r="K669">
            <v>45316</v>
          </cell>
          <cell r="L669">
            <v>7000</v>
          </cell>
          <cell r="M669">
            <v>5666</v>
          </cell>
          <cell r="N669" t="str">
            <v>01 - 29 MARCH</v>
          </cell>
          <cell r="O669" t="str">
            <v>(NB20260315)_Mar_Sellout Support_RF _Asus_Select</v>
          </cell>
        </row>
        <row r="670">
          <cell r="C670" t="str">
            <v>RF S5606MA-MX551WS</v>
          </cell>
          <cell r="E670" t="str">
            <v>S5606MA-MX551WS</v>
          </cell>
          <cell r="F670" t="str">
            <v>90NB12E1-M000W0</v>
          </cell>
          <cell r="G670" t="str">
            <v xml:space="preserve">INTEL CORE ULTRA 5-125H / EVO /  /  / 16GB LPDDR5X  / 1TB PCIe® 4.0 SSD / 16-inch / 3.2K (3200 x 2000) OLED 16:10  /  / Mist Blue / RGB Backlit KB / Win 11 Home / MS Office / </v>
          </cell>
          <cell r="H670">
            <v>59493</v>
          </cell>
          <cell r="I670">
            <v>48149</v>
          </cell>
          <cell r="J670">
            <v>55993</v>
          </cell>
          <cell r="K670">
            <v>45316</v>
          </cell>
          <cell r="L670">
            <v>3500</v>
          </cell>
          <cell r="M670">
            <v>2833</v>
          </cell>
          <cell r="N670" t="str">
            <v>01 - 29 MARCH</v>
          </cell>
          <cell r="O670" t="str">
            <v>(NB20260315)_Mar_Sellout Support_RF _Asus_Select</v>
          </cell>
        </row>
        <row r="671">
          <cell r="C671" t="str">
            <v>RF S5606MA-MX552WS</v>
          </cell>
          <cell r="E671" t="str">
            <v>S5606MA-MX552WS</v>
          </cell>
          <cell r="F671" t="str">
            <v>90NB12E3-M000Z0</v>
          </cell>
          <cell r="G671" t="str">
            <v xml:space="preserve">INTEL CORE ULTRA 5-125H / EVO /  /  / 16GB LPDDR5X  / 1TB PCIe® 4.0 SSD / 16-inch / 3.2K (3200 x 2000) OLED 16:10  /  / Neutral Black / RGB Backlit KB / Win 11 Home / MS Office / </v>
          </cell>
          <cell r="H671">
            <v>59493</v>
          </cell>
          <cell r="I671">
            <v>48149</v>
          </cell>
          <cell r="J671">
            <v>55993</v>
          </cell>
          <cell r="K671">
            <v>45316</v>
          </cell>
          <cell r="L671">
            <v>3500</v>
          </cell>
          <cell r="M671">
            <v>2833</v>
          </cell>
          <cell r="N671" t="str">
            <v>01 - 29 MARCH</v>
          </cell>
          <cell r="O671" t="str">
            <v>(NB20260315)_Mar_Sellout Support_RF _Asus_Select</v>
          </cell>
        </row>
        <row r="672">
          <cell r="C672" t="str">
            <v>RF UM3402YA-KM751WS</v>
          </cell>
          <cell r="E672" t="str">
            <v>UM3402YA-KM751WS</v>
          </cell>
          <cell r="F672" t="str">
            <v>90NB0W95-M00PS0</v>
          </cell>
          <cell r="G672" t="str">
            <v>AMD Ryzen™ 7 7730U /  /  / 16GB LPDDR4X  / 1TB PCIe® 3.0 SSD / 14.0-inch / 2.8K (2880 x 1800) OLED 16:10  / 90Hz refresh rate / JADE BLACK / NumberPad /  / FingerPrint / Backlit KB / Win 11 Home / MS Office / Sleeve</v>
          </cell>
          <cell r="H672">
            <v>62993</v>
          </cell>
          <cell r="I672">
            <v>50982</v>
          </cell>
          <cell r="J672">
            <v>55993</v>
          </cell>
          <cell r="K672">
            <v>45316</v>
          </cell>
          <cell r="L672">
            <v>7000</v>
          </cell>
          <cell r="M672">
            <v>5666</v>
          </cell>
          <cell r="N672" t="str">
            <v>01 - 29 MARCH</v>
          </cell>
          <cell r="O672" t="str">
            <v>(NB20260315)_Mar_Sellout Support_RF _Asus_Select</v>
          </cell>
        </row>
        <row r="673">
          <cell r="C673" t="str">
            <v>RF M3607KA-SH099WS</v>
          </cell>
          <cell r="E673" t="str">
            <v>M3607KA-SH099WS</v>
          </cell>
          <cell r="F673" t="str">
            <v>90NB16T2-M00660</v>
          </cell>
          <cell r="G673" t="str">
            <v xml:space="preserve">AMD RYZEN AI 5 330 / DDR5 16G[ON BD.] / 1TB PCIe® 4.0 SSD / 16.0-inch / 16" OLED WUXGA BEND GLARE NON-TOUCH,300NITS,DCI-P3:95%-NB(SH) /  / 2S-COOL SILVER / Backlit KB / Win 11 Home / MS Office 2024 + MSO 365 / </v>
          </cell>
          <cell r="H673">
            <v>63742.5</v>
          </cell>
          <cell r="I673">
            <v>51588</v>
          </cell>
          <cell r="J673">
            <v>56042.5</v>
          </cell>
          <cell r="K673">
            <v>45356</v>
          </cell>
          <cell r="L673">
            <v>7700</v>
          </cell>
          <cell r="M673">
            <v>6232</v>
          </cell>
          <cell r="N673" t="str">
            <v>01 - 29 MARCH</v>
          </cell>
          <cell r="O673" t="str">
            <v>(NB20260315)_Mar_Sellout Support_RF _Asus_Select</v>
          </cell>
        </row>
        <row r="674">
          <cell r="C674" t="str">
            <v>RF M3607KA-SH100WS</v>
          </cell>
          <cell r="E674" t="str">
            <v>M3607KA-SH100WS</v>
          </cell>
          <cell r="F674" t="str">
            <v>90NB16T1-M00670</v>
          </cell>
          <cell r="G674" t="str">
            <v xml:space="preserve">AMD RYZEN AI 5 330 / DDR5 16G[ON BD.] / 1TB PCIe® 4.0 SSD / 16.0-inch / 16" OLED WUXGA BEND GLARE NON-TOUCH,300NITS,DCI-P3:95%-NB(SH) /  / 2G-MATTE GRAY / Backlit KB / Win 11 Home / MS Office 2024 + MSO 365 / </v>
          </cell>
          <cell r="H674">
            <v>63742.5</v>
          </cell>
          <cell r="I674">
            <v>51588</v>
          </cell>
          <cell r="J674">
            <v>56042.5</v>
          </cell>
          <cell r="K674">
            <v>45356</v>
          </cell>
          <cell r="L674">
            <v>7700</v>
          </cell>
          <cell r="M674">
            <v>6232</v>
          </cell>
          <cell r="N674" t="str">
            <v>01 - 29 MARCH</v>
          </cell>
          <cell r="O674" t="str">
            <v>(NB20260315)_Mar_Sellout Support_RF _Asus_Select</v>
          </cell>
        </row>
        <row r="675">
          <cell r="C675" t="str">
            <v>RF K5504VA-LK542WS</v>
          </cell>
          <cell r="E675" t="str">
            <v>K5504VA-LK542WS</v>
          </cell>
          <cell r="F675" t="str">
            <v>90NB0ZK2-M007U0</v>
          </cell>
          <cell r="G675" t="str">
            <v xml:space="preserve">Intel® Core™ i5-13500H EVO/  /  / 16GB LPDDR5  / 512GB PCIe® 4.0 SSD / 15.6-inch / FHD (1920 x 1080) OLED 16:9  /  / Midnight Black /  /  / FingerPrint / Backlit KB / Win 11 Home / MS Office / </v>
          </cell>
          <cell r="H675">
            <v>61592</v>
          </cell>
          <cell r="I675">
            <v>49848</v>
          </cell>
          <cell r="J675">
            <v>56692</v>
          </cell>
          <cell r="K675">
            <v>45882</v>
          </cell>
          <cell r="L675">
            <v>4900</v>
          </cell>
          <cell r="M675">
            <v>3966</v>
          </cell>
          <cell r="N675" t="str">
            <v>01 - 29 MARCH</v>
          </cell>
          <cell r="O675" t="str">
            <v>(NB20260315)_Mar_Sellout Support_RF _Asus_Select</v>
          </cell>
        </row>
        <row r="676">
          <cell r="C676" t="str">
            <v>RF UX3405MA-PP555WS</v>
          </cell>
          <cell r="E676" t="str">
            <v>UX3405MA-PP555WS</v>
          </cell>
          <cell r="F676" t="str">
            <v>90NB11R1-M01M30</v>
          </cell>
          <cell r="G676" t="str">
            <v>INTEL CORE ULTRA 5-125H / EVO /  /  / 16GB LPDDR5X / 1TB PCIe® 4.0 SSD / 14.0-inch / 2.8K (2880 x 1800) 16:10 OLED / 120Hz refresh rate / Ponder Blue / Backlit KB / Win 11 Home / MS Office / Sleeve</v>
          </cell>
          <cell r="H676">
            <v>62993</v>
          </cell>
          <cell r="I676">
            <v>50982</v>
          </cell>
          <cell r="J676">
            <v>56693</v>
          </cell>
          <cell r="K676">
            <v>45883</v>
          </cell>
          <cell r="L676">
            <v>6300</v>
          </cell>
          <cell r="M676">
            <v>5099</v>
          </cell>
          <cell r="N676" t="str">
            <v>01 - 29 MARCH</v>
          </cell>
          <cell r="O676" t="str">
            <v>(NB20260315)_Mar_Sellout Support_RF _Asus_Select</v>
          </cell>
        </row>
        <row r="677">
          <cell r="C677" t="str">
            <v>RF UX5304VA-NQ541WS</v>
          </cell>
          <cell r="E677" t="str">
            <v>UX5304VA-NQ541WS</v>
          </cell>
          <cell r="F677" t="str">
            <v>90NB0Z93-M009A0</v>
          </cell>
          <cell r="G677" t="str">
            <v>Intel® Core™ i5-1335U EVO  /  /  / 16GB LPDDR5  / 512GB PCIe® 4.0 SSD / 13.3-inch / 2.8K (2880 x 1800) OLED 16:10  /  / Ponder Blue Backlit KB / Win 11 Home / MS Office / Sleeve</v>
          </cell>
          <cell r="H677">
            <v>62993</v>
          </cell>
          <cell r="I677">
            <v>50982</v>
          </cell>
          <cell r="J677">
            <v>56693</v>
          </cell>
          <cell r="K677">
            <v>45883</v>
          </cell>
          <cell r="L677">
            <v>6300</v>
          </cell>
          <cell r="M677">
            <v>5099</v>
          </cell>
          <cell r="N677" t="str">
            <v>01 - 29 MARCH</v>
          </cell>
          <cell r="O677" t="str">
            <v>(NB20260315)_Mar_Sellout Support_RF _Asus_Select</v>
          </cell>
        </row>
        <row r="678">
          <cell r="C678" t="str">
            <v>RF K3605VC-RP492WS</v>
          </cell>
          <cell r="E678" t="str">
            <v>K3605VC-RP492WS</v>
          </cell>
          <cell r="F678" t="str">
            <v>90NB11D2-M00PB0</v>
          </cell>
          <cell r="G678" t="str">
            <v>i7-13620H/RTX3050 4GB/DDR4 16GB/512GB M.2 NVMe™ PCIe® 4.0 SSD/16.0-inch/WUXGA (1920 x 1200) 16:10 aspect ratio/144Hz refresh rate/Backlit Chiclet Keyboard with Num-key/50WHrs, 3S1P, 3-cell Li-ion/OFFICE HOME 2024 (IN)+M365 BASIC//Cool Silver</v>
          </cell>
          <cell r="H678">
            <v>62392</v>
          </cell>
          <cell r="I678">
            <v>50495</v>
          </cell>
          <cell r="J678">
            <v>56792</v>
          </cell>
          <cell r="K678">
            <v>46056</v>
          </cell>
          <cell r="L678">
            <v>5600</v>
          </cell>
          <cell r="M678">
            <v>4439</v>
          </cell>
          <cell r="N678" t="str">
            <v>01 - 15 MARCH</v>
          </cell>
          <cell r="O678" t="str">
            <v>(NB20260350)_Mar_Your Vibe Your Color Your Deal_Sellout Support_RF _Select Store_Creator</v>
          </cell>
        </row>
        <row r="679">
          <cell r="C679" t="str">
            <v>RF K3605VC-RP517WS</v>
          </cell>
          <cell r="E679" t="str">
            <v>K3605VC-RP517WS</v>
          </cell>
          <cell r="F679" t="str">
            <v>90NB11D1-M00RN0</v>
          </cell>
          <cell r="G679" t="str">
            <v>i7-13620H/RTX3050 4GB/DDR4 16GB/512GB M.2 NVMe™ PCIe® 4.0 SSD/16.0-inch/WUXGA (1920 x 1200) 16:10 aspect ratio/144Hz refresh rate/Backlit Chiclet Keyboard with Num-key/50WHrs, 3S1P, 3-cell Li-ion/OFFICE HOME 2024 (IN)+M365 BASIC//Black</v>
          </cell>
          <cell r="H679">
            <v>62392</v>
          </cell>
          <cell r="I679">
            <v>50495</v>
          </cell>
          <cell r="J679">
            <v>56792</v>
          </cell>
          <cell r="K679">
            <v>46056</v>
          </cell>
          <cell r="L679">
            <v>5600</v>
          </cell>
          <cell r="M679">
            <v>4439</v>
          </cell>
          <cell r="N679" t="str">
            <v>01 - 15 MARCH</v>
          </cell>
          <cell r="O679" t="str">
            <v>(NB20260350)_Mar_Your Vibe Your Color Your Deal_Sellout Support_RF _Select Store_Creator</v>
          </cell>
        </row>
        <row r="680">
          <cell r="C680" t="str">
            <v>RF TP3402VAB-LZ541WS</v>
          </cell>
          <cell r="E680" t="str">
            <v>TP3402VAB-LZ541WS</v>
          </cell>
          <cell r="F680" t="str">
            <v>90NB10W1-M005A0</v>
          </cell>
          <cell r="G680" t="str">
            <v>Intel® Core™ i5-1335U  /  /  / 16GB (8*2) DDR4 / 512GB PCIe® 4.0 SSD / 14.0-inch / WUXGA (1920 x 1200) 16:10  /  / Quiet Blue /  /  / FingerPrint / Backlit KB / Win 11 Home / MS Office / Stylus</v>
          </cell>
          <cell r="H680">
            <v>62392</v>
          </cell>
          <cell r="I680">
            <v>50495</v>
          </cell>
          <cell r="J680">
            <v>56932</v>
          </cell>
          <cell r="K680">
            <v>46076</v>
          </cell>
          <cell r="L680">
            <v>5460</v>
          </cell>
          <cell r="M680">
            <v>4419</v>
          </cell>
          <cell r="N680" t="str">
            <v>01 - 29 MARCH</v>
          </cell>
          <cell r="O680" t="str">
            <v>(NB20260315)_Mar_Sellout Support_RF _Asus_Select</v>
          </cell>
        </row>
        <row r="681">
          <cell r="C681" t="str">
            <v>RF TP3402VAB-LZ542WS</v>
          </cell>
          <cell r="E681" t="str">
            <v>TP3402VAB-LZ542WS</v>
          </cell>
          <cell r="F681" t="str">
            <v>90NB10W2-M005B0</v>
          </cell>
          <cell r="G681" t="str">
            <v>Intel® Core™ i5-1335U  /  /  / 16GB (8*2) DDR4 / 512GB PCIe® 4.0 SSD / 14.0-inch / WUXGA (1920 x 1200) 16:10  /  / Transparent Silver /  /  / FingerPrint / Backlit KB / Win 11 Home / MS Office / Stylus</v>
          </cell>
          <cell r="H681">
            <v>62392</v>
          </cell>
          <cell r="I681">
            <v>50495</v>
          </cell>
          <cell r="J681">
            <v>56932</v>
          </cell>
          <cell r="K681">
            <v>46076</v>
          </cell>
          <cell r="L681">
            <v>5460</v>
          </cell>
          <cell r="M681">
            <v>4419</v>
          </cell>
          <cell r="N681" t="str">
            <v>01 - 29 MARCH</v>
          </cell>
          <cell r="O681" t="str">
            <v>(NB20260315)_Mar_Sellout Support_RF _Asus_Select</v>
          </cell>
        </row>
        <row r="682">
          <cell r="C682" t="str">
            <v>RF V3607VJ-RP134WS</v>
          </cell>
          <cell r="E682" t="str">
            <v>V3607VJ-RP134WS</v>
          </cell>
          <cell r="F682" t="str">
            <v>90NB15V1-M008A0</v>
          </cell>
          <cell r="G682" t="str">
            <v>Intel Core5/RTX3050 6GB/16GB DDR5 /512GB M.2 NVMe™ PCIe® 4.0 SSD/16.0-inch/WUXGA (1920 x 1200) 16:10 aspect ratio/144Hz refresh rate/Backlit Chiclet Keyboard with Num-key/63WHrs, 3S1P, 3-cell Li-ion/OFFICE HOME 2024 (IN)+M365 BASIC//Black</v>
          </cell>
          <cell r="H682">
            <v>58792.999999999993</v>
          </cell>
          <cell r="I682">
            <v>47582</v>
          </cell>
          <cell r="J682">
            <v>57392.999999999993</v>
          </cell>
          <cell r="K682">
            <v>46544</v>
          </cell>
          <cell r="L682">
            <v>1400</v>
          </cell>
          <cell r="M682">
            <v>1038</v>
          </cell>
          <cell r="N682" t="str">
            <v>01 - 15 MARCH</v>
          </cell>
          <cell r="O682" t="str">
            <v>(NB20260350)_Mar_Your Vibe Your Color Your Deal_Sellout Support_RF _Select Store_Creator</v>
          </cell>
        </row>
        <row r="683">
          <cell r="C683" t="str">
            <v>RF S5507QAD-MA751WS</v>
          </cell>
          <cell r="E683" t="str">
            <v>S5507QAD-MA751WS</v>
          </cell>
          <cell r="F683" t="str">
            <v>90NB14Q2-M006Y0</v>
          </cell>
          <cell r="G683" t="str">
            <v xml:space="preserve">Qualcomm SNAPDRAGON X ELITE X1 E78100 / 16GB LPDDR5X  / 1TB PCIe® 4.0 SSD / 15.6-inch / 3K (2880 x 1620) OLED 16:9  /  / Cool Silver / RGB Backlit KB / Win 11 Home / MS Office / </v>
          </cell>
          <cell r="H683">
            <v>62993</v>
          </cell>
          <cell r="I683">
            <v>50982</v>
          </cell>
          <cell r="J683">
            <v>57393</v>
          </cell>
          <cell r="K683">
            <v>46449</v>
          </cell>
          <cell r="L683">
            <v>5600</v>
          </cell>
          <cell r="M683">
            <v>4533</v>
          </cell>
          <cell r="N683" t="str">
            <v>01 - 29 MARCH</v>
          </cell>
          <cell r="O683" t="str">
            <v>(NB20260315)_Mar_Sellout Support_RF _Asus_Select</v>
          </cell>
        </row>
        <row r="684">
          <cell r="C684" t="str">
            <v>RF FA566NCR-HN117W</v>
          </cell>
          <cell r="E684" t="str">
            <v>FA566NCR-HN117W</v>
          </cell>
          <cell r="F684" t="str">
            <v>90NR0JV7-M00940</v>
          </cell>
          <cell r="G684" t="str">
            <v>R7-7435HS/ RTX3050- 4GB/ 16GB DDR5/ 1TB PCIe® 4.0 NVMe™ M.2 SSD/ 15.6" FHD 144Hz/ Backlit Chiclet Keyboard 1-Zone RGB/ 48WHrs/ Win 11/ X/ / McAfee® 1 year/ Graphite Black</v>
          </cell>
          <cell r="H684">
            <v>58392</v>
          </cell>
          <cell r="I684">
            <v>47258</v>
          </cell>
          <cell r="J684">
            <v>57592</v>
          </cell>
          <cell r="K684">
            <v>46610</v>
          </cell>
          <cell r="L684">
            <v>800</v>
          </cell>
          <cell r="M684">
            <v>648</v>
          </cell>
          <cell r="N684" t="str">
            <v>01 - 31 MARCH</v>
          </cell>
          <cell r="O684" t="str">
            <v>(NR260322) Asus Mar Top Picks_Sellout Support_RF _Select Store</v>
          </cell>
        </row>
        <row r="685">
          <cell r="C685" t="str">
            <v>RF S3407CA-LY083WS</v>
          </cell>
          <cell r="E685" t="str">
            <v>S3407CA-LY083WS</v>
          </cell>
          <cell r="F685" t="str">
            <v>90NB16J2-M005Y0</v>
          </cell>
          <cell r="G685" t="str">
            <v xml:space="preserve">INTEL CORE ULTRA 7 255H / DDR5 16G[ON BD.] / 512GB PCIe® 4.0 SSD / 14.0-inch / 14" WUXGA ANTI-GLARE NON-TOUCH,300NITS,NTSC:45%,VIPS-NB(LY) /  / 2G-MATTE GRAY / Backlit KB / Win 11 Home / MS Office 2024 + MSO 365 / </v>
          </cell>
          <cell r="H685">
            <v>63693</v>
          </cell>
          <cell r="I685">
            <v>51548</v>
          </cell>
          <cell r="J685">
            <v>58093</v>
          </cell>
          <cell r="K685">
            <v>47016</v>
          </cell>
          <cell r="L685">
            <v>5600</v>
          </cell>
          <cell r="M685">
            <v>4532</v>
          </cell>
          <cell r="N685" t="str">
            <v>01 - 29 MARCH</v>
          </cell>
          <cell r="O685" t="str">
            <v>(NB20260315)_Mar_Sellout Support_RF _Asus_Select</v>
          </cell>
        </row>
        <row r="686">
          <cell r="C686" t="str">
            <v>RF S3407CA-LY084WS</v>
          </cell>
          <cell r="E686" t="str">
            <v>S3407CA-LY084WS</v>
          </cell>
          <cell r="F686" t="str">
            <v>90NB16J1-M005Z0</v>
          </cell>
          <cell r="G686" t="str">
            <v xml:space="preserve">INTEL CORE ULTRA 7 255H / DDR5 16G[ON BD.] / 512GB PCIe® 4.0 SSD / 14.0-inch / 14" WUXGA ANTI-GLARE NON-TOUCH,300NITS,NTSC:45%,VIPS-NB(LY) /  / 2S-COOL SILVER / Backlit KB / Win 11 Home / MS Office 2024 + MSO 365 / </v>
          </cell>
          <cell r="H686">
            <v>63693</v>
          </cell>
          <cell r="I686">
            <v>51548</v>
          </cell>
          <cell r="J686">
            <v>58093</v>
          </cell>
          <cell r="K686">
            <v>47016</v>
          </cell>
          <cell r="L686">
            <v>5600</v>
          </cell>
          <cell r="M686">
            <v>4532</v>
          </cell>
          <cell r="N686" t="str">
            <v>01 - 29 MARCH</v>
          </cell>
          <cell r="O686" t="str">
            <v>(NB20260315)_Mar_Sellout Support_RF _Asus_Select</v>
          </cell>
        </row>
        <row r="687">
          <cell r="C687" t="str">
            <v>RF S5504VA-MA951WS</v>
          </cell>
          <cell r="E687" t="str">
            <v>S5504VA-MA951WS</v>
          </cell>
          <cell r="F687" t="str">
            <v>90NB0ZK1-M00830</v>
          </cell>
          <cell r="G687" t="str">
            <v xml:space="preserve">Intel® Core™ i9-13900H /EVO  /  / 16GB LPDDR5  / 1TB PCIe® 4.0 SSD / 15.6-inch / 2.8K (2880 x 1620) OLED 16:9  /  / Solar Blue /  /  / FingerPrint / Backlit KB / Win 11 Home / MS Office / </v>
          </cell>
          <cell r="H687">
            <v>69993</v>
          </cell>
          <cell r="I687">
            <v>56647</v>
          </cell>
          <cell r="J687">
            <v>58093</v>
          </cell>
          <cell r="K687">
            <v>47016</v>
          </cell>
          <cell r="L687">
            <v>11900</v>
          </cell>
          <cell r="M687">
            <v>9631</v>
          </cell>
          <cell r="N687" t="str">
            <v>01 - 29 MARCH</v>
          </cell>
          <cell r="O687" t="str">
            <v>(NB20260315)_Mar_Sellout Support_RF _Asus_Select</v>
          </cell>
        </row>
        <row r="688">
          <cell r="C688" t="str">
            <v>RF FA506NCG-HN249W</v>
          </cell>
          <cell r="E688" t="str">
            <v>FA506NCG-HN249W</v>
          </cell>
          <cell r="F688" t="str">
            <v>90NR0JF7-M00LT0</v>
          </cell>
          <cell r="G688" t="str">
            <v>R7-7445HS/RTX3050 4GB/16GB DDR5 /1TB PCIE G4 SSD/15.6 FHD ANTI-GLARE NON-TOUCH,250NITS,NTSC:45%(144HZ),VIPS-NB(HN)/Backlit Chiclet Keyboard 1-Zone RGB/48WHrs, 3S1P, 3-cell Li-ion/X//Black</v>
          </cell>
          <cell r="H688">
            <v>66392</v>
          </cell>
          <cell r="I688">
            <v>53733</v>
          </cell>
          <cell r="J688">
            <v>58392</v>
          </cell>
          <cell r="K688">
            <v>47258</v>
          </cell>
          <cell r="L688">
            <v>8000</v>
          </cell>
          <cell r="M688">
            <v>6475</v>
          </cell>
          <cell r="N688" t="str">
            <v>01 - 15 MARCH</v>
          </cell>
          <cell r="O688" t="str">
            <v>(NR260304) Asus your vibe your color your Deal _Sellout Support_RF _Select Store</v>
          </cell>
        </row>
        <row r="689">
          <cell r="C689" t="str">
            <v>RF S5504VA-MA541WS</v>
          </cell>
          <cell r="E689" t="str">
            <v>S5504VA-MA541WS</v>
          </cell>
          <cell r="F689" t="str">
            <v>90NB0ZK1-M007Y0</v>
          </cell>
          <cell r="G689" t="str">
            <v xml:space="preserve">Intel® Core™ i5-13500H EVO /  /  / 16GB LPDDR5  / 512GB PCIe® 4.0 SSD / 15.6-inch / 2.8K (2880 x 1620) OLED 16:9  /  / Solar Blue /  /  / FingerPrint / Backlit KB / Win 11 Home / MS Office / </v>
          </cell>
          <cell r="H689">
            <v>61592</v>
          </cell>
          <cell r="I689">
            <v>49848</v>
          </cell>
          <cell r="J689">
            <v>58792</v>
          </cell>
          <cell r="K689">
            <v>47582</v>
          </cell>
          <cell r="L689">
            <v>2800</v>
          </cell>
          <cell r="M689">
            <v>2266</v>
          </cell>
          <cell r="N689" t="str">
            <v>01 - 29 MARCH</v>
          </cell>
          <cell r="O689" t="str">
            <v>(NB20260315)_Mar_Sellout Support_RF _Asus_Select</v>
          </cell>
        </row>
        <row r="690">
          <cell r="C690" t="str">
            <v>RF S5504VA-MA543WS</v>
          </cell>
          <cell r="E690" t="str">
            <v>S5504VA-MA543WS</v>
          </cell>
          <cell r="F690" t="str">
            <v>90NB0ZK3-M007Z0</v>
          </cell>
          <cell r="G690" t="str">
            <v xml:space="preserve">Intel® Core™ i5-13500H EVO/  /  / 16GB LPDDR5  / 512GB PCIe® 4.0 SSD / 15.6-inch / 2.8K (2880 x 1620) OLED 16:9  /  / Cool Silver /  /  / FingerPrint / Backlit KB / Win 11 Home / MS Office / </v>
          </cell>
          <cell r="H690">
            <v>61592</v>
          </cell>
          <cell r="I690">
            <v>49848</v>
          </cell>
          <cell r="J690">
            <v>58792</v>
          </cell>
          <cell r="K690">
            <v>47582</v>
          </cell>
          <cell r="L690">
            <v>2800</v>
          </cell>
          <cell r="M690">
            <v>2266</v>
          </cell>
          <cell r="N690" t="str">
            <v>01 - 29 MARCH</v>
          </cell>
          <cell r="O690" t="str">
            <v>(NB20260315)_Mar_Sellout Support_RF _Asus_Select</v>
          </cell>
        </row>
        <row r="691">
          <cell r="C691" t="str">
            <v>RF FA507NUR-LP082W</v>
          </cell>
          <cell r="E691" t="str">
            <v>FA507NUR-LP082W</v>
          </cell>
          <cell r="F691" t="str">
            <v>90NR0JP5-M004Z0</v>
          </cell>
          <cell r="G691" t="str">
            <v>R7-7435HS/ RTX4050- 6GB/ 16GB [16GB DDR5 X 1]/ 512G Gen 4 SSD/ 15.6" FHD 144Hz/ Backlit KB- 1 zone RGB/ 90Whr/ WIN 11/ / / McAfee(1 year)/ MECHA GRAY</v>
          </cell>
          <cell r="H691">
            <v>62992.999999999993</v>
          </cell>
          <cell r="I691">
            <v>50982</v>
          </cell>
          <cell r="J691">
            <v>58792.999999999993</v>
          </cell>
          <cell r="K691">
            <v>47582</v>
          </cell>
          <cell r="L691">
            <v>4200</v>
          </cell>
          <cell r="M691">
            <v>3400</v>
          </cell>
          <cell r="N691" t="str">
            <v>01 - 31 MARCH</v>
          </cell>
          <cell r="O691" t="str">
            <v>(NR260322) Asus Mar Top Picks_Sellout Support_RF _Select Store</v>
          </cell>
        </row>
        <row r="692">
          <cell r="C692" t="str">
            <v>RF UX3407QA-QD258WS</v>
          </cell>
          <cell r="E692" t="str">
            <v>UX3407QA-QD258WS</v>
          </cell>
          <cell r="F692" t="str">
            <v>90NB1501-M00FK0</v>
          </cell>
          <cell r="G692" t="str">
            <v xml:space="preserve">SNAPDRAGON X X1 26100 / LPDDR5X 16G [ON BD.] / 512G PCIE G4 / 14.0-inch / 14" OLED WUXGA BEND GLARE NON-TOUCH,400NITS(HDR),DCI-P3:100%-NB(QD) /  / SANDSTONE BEIGE(BEZEL) / Backlit KB / Win 11 Home / Office Home 2024 &amp; M365 Basic 1 Year / </v>
          </cell>
          <cell r="H692">
            <v>65093</v>
          </cell>
          <cell r="I692">
            <v>52681</v>
          </cell>
          <cell r="J692">
            <v>58793</v>
          </cell>
          <cell r="K692">
            <v>47582</v>
          </cell>
          <cell r="L692">
            <v>6300</v>
          </cell>
          <cell r="M692">
            <v>5099</v>
          </cell>
          <cell r="N692" t="str">
            <v>01 - 29 MARCH</v>
          </cell>
          <cell r="O692" t="str">
            <v>(NB20260315)_Mar_Sellout Support_RF _Asus_Select</v>
          </cell>
        </row>
        <row r="693">
          <cell r="C693" t="str">
            <v>RF UX3407QA-QD259WS</v>
          </cell>
          <cell r="E693" t="str">
            <v>UX3407QA-QD259WS</v>
          </cell>
          <cell r="F693" t="str">
            <v>90NB1502-M00FL0</v>
          </cell>
          <cell r="G693" t="str">
            <v xml:space="preserve">SNAPDRAGON X X1 26100 / LPDDR5X 16G [ON BD.] / 512G PCIE G4 / 14.0-inch / 14" OLED WUXGA BEND GLARE NON-TOUCH,400NITS(HDR),DCI-P3:100%-NB(QD) /  / NEUTRAL GREY / Backlit KB / Win 11 Home / Office Home 2024 &amp; M365 Basic 1 Year / </v>
          </cell>
          <cell r="H693">
            <v>65093</v>
          </cell>
          <cell r="I693">
            <v>52681</v>
          </cell>
          <cell r="J693">
            <v>58793</v>
          </cell>
          <cell r="K693">
            <v>47582</v>
          </cell>
          <cell r="L693">
            <v>6300</v>
          </cell>
          <cell r="M693">
            <v>5099</v>
          </cell>
          <cell r="N693" t="str">
            <v>01 - 29 MARCH</v>
          </cell>
          <cell r="O693" t="str">
            <v>(NB20260315)_Mar_Sellout Support_RF _Asus_Select</v>
          </cell>
        </row>
        <row r="694">
          <cell r="C694" t="str">
            <v>RF S3407CA-LY057WS</v>
          </cell>
          <cell r="E694" t="str">
            <v>S3407CA-LY057WS</v>
          </cell>
          <cell r="F694" t="str">
            <v>90NB16J2-M00330</v>
          </cell>
          <cell r="G694" t="str">
            <v xml:space="preserve">INTEL CORE ULTRA 5 225H / DDR5 16G[ON BD.] / 512GB PCIe® 4.0 SSD / 14.0-inch / 14" WUXGA ANTI-GLARE NON-TOUCH,300NITS,NTSC:45%,VIPS-NB(LY) /  / 2G-MATTE GRAY / Backlit KB / Win 11 Home / MS Office 2024 + MSO 365 / </v>
          </cell>
          <cell r="H694">
            <v>64792</v>
          </cell>
          <cell r="I694">
            <v>52438</v>
          </cell>
          <cell r="J694">
            <v>59192</v>
          </cell>
          <cell r="K694">
            <v>47905</v>
          </cell>
          <cell r="L694">
            <v>5600</v>
          </cell>
          <cell r="M694">
            <v>4533</v>
          </cell>
          <cell r="N694" t="str">
            <v>01 - 29 MARCH</v>
          </cell>
          <cell r="O694" t="str">
            <v>(NB20260315)_Mar_Sellout Support_RF _Asus_Select</v>
          </cell>
        </row>
        <row r="695">
          <cell r="C695" t="str">
            <v>RF S3407CA-LY060WS</v>
          </cell>
          <cell r="E695" t="str">
            <v>S3407CA-LY060WS</v>
          </cell>
          <cell r="F695" t="str">
            <v>90NB16J1-M003B0</v>
          </cell>
          <cell r="G695" t="str">
            <v xml:space="preserve">INTEL CORE ULTRA 5 225H / DDR5 16G[ON BD.] / 512GB PCIe® 4.0 SSD / 14.0-inch / 14" WUXGA ANTI-GLARE NON-TOUCH,300NITS,NTSC:45%,VIPS-NB(LY) /  / 2S-COOL SILVER / Backlit KB / Win 11 Home / MS Office 2024 + MSO 365 / </v>
          </cell>
          <cell r="H695">
            <v>64792</v>
          </cell>
          <cell r="I695">
            <v>52438</v>
          </cell>
          <cell r="J695">
            <v>59192</v>
          </cell>
          <cell r="K695">
            <v>47905</v>
          </cell>
          <cell r="L695">
            <v>5600</v>
          </cell>
          <cell r="M695">
            <v>4533</v>
          </cell>
          <cell r="N695" t="str">
            <v>01 - 29 MARCH</v>
          </cell>
          <cell r="O695" t="str">
            <v>(NB20260315)_Mar_Sellout Support_RF _Asus_Select</v>
          </cell>
        </row>
        <row r="696">
          <cell r="C696" t="str">
            <v>RF S3607CA-RP090WS</v>
          </cell>
          <cell r="E696" t="str">
            <v>S3607CA-RP090WS</v>
          </cell>
          <cell r="F696" t="str">
            <v>90NB16I1-M006R0</v>
          </cell>
          <cell r="G696" t="str">
            <v xml:space="preserve">INTEL CORE ULTRA 7 255H / DDR5 16G[ON BD.] / 512GB PCIe® 4.0 SSD / 16.0-inch / 16" WUXGA ANTI-GLARE NON-TOUCH,300NITS,NTSC:45%(144HZ),VIPS-NB(RP) /  / 2S-COOL SILVER / Backlit KB / Win 11 Home / MS Office 2024 + MSO 365 / </v>
          </cell>
          <cell r="H696">
            <v>65093</v>
          </cell>
          <cell r="I696">
            <v>52681</v>
          </cell>
          <cell r="J696">
            <v>59493</v>
          </cell>
          <cell r="K696">
            <v>48149</v>
          </cell>
          <cell r="L696">
            <v>5600</v>
          </cell>
          <cell r="M696">
            <v>4532</v>
          </cell>
          <cell r="N696" t="str">
            <v>01 - 29 MARCH</v>
          </cell>
          <cell r="O696" t="str">
            <v>(NB20260315)_Mar_Sellout Support_RF _Asus_Select</v>
          </cell>
        </row>
        <row r="697">
          <cell r="C697" t="str">
            <v>RF S5504VA-MA953WS</v>
          </cell>
          <cell r="E697" t="str">
            <v>S5504VA-MA953WS</v>
          </cell>
          <cell r="F697" t="str">
            <v>90NB0ZK3-M00820</v>
          </cell>
          <cell r="G697" t="str">
            <v xml:space="preserve">Intel® Core™ i9-13900H EVO /  /  / 16GB LPDDR5  / 1TB GB PCIe® 4.0 SSD / 15.6-inch / 2.8K (2880 x 1620) OLED 16:9  /  / Cool Silver /  /  / FingerPrint / Backlit KB / Win 11 Home / MS Office / </v>
          </cell>
          <cell r="H697">
            <v>69993</v>
          </cell>
          <cell r="I697">
            <v>56647</v>
          </cell>
          <cell r="J697">
            <v>59493</v>
          </cell>
          <cell r="K697">
            <v>48149</v>
          </cell>
          <cell r="L697">
            <v>10500</v>
          </cell>
          <cell r="M697">
            <v>8498</v>
          </cell>
          <cell r="N697" t="str">
            <v>01 - 29 MARCH</v>
          </cell>
          <cell r="O697" t="str">
            <v>(NB20260315)_Mar_Sellout Support_RF _Asus_Select</v>
          </cell>
        </row>
        <row r="698">
          <cell r="C698" t="str">
            <v>RF UX5401ZAS-KN711WS</v>
          </cell>
          <cell r="E698" t="str">
            <v>UX5401ZAS-KN711WS</v>
          </cell>
          <cell r="F698" t="str">
            <v>90NB0WV7-M00090</v>
          </cell>
          <cell r="G698" t="str">
            <v xml:space="preserve">Intel® Core™ i7-12700H / EVO / 16GB LPDDR5  / 1TB 4.0 PeRF ormance SSD / 14.0-inch / 2.8K OLED 16:10  / 90Hz refresh rate / Zero-G Titanium /  / FingerPrint / 63WHrs battery / Backlit Keyboard / Sleeve / MS Office  / </v>
          </cell>
          <cell r="H698">
            <v>66493</v>
          </cell>
          <cell r="I698">
            <v>53814</v>
          </cell>
          <cell r="J698">
            <v>59493</v>
          </cell>
          <cell r="K698">
            <v>48149</v>
          </cell>
          <cell r="L698">
            <v>7000</v>
          </cell>
          <cell r="M698">
            <v>5665</v>
          </cell>
          <cell r="N698" t="str">
            <v>01 - 29 MARCH</v>
          </cell>
          <cell r="O698" t="str">
            <v>(NB20260315)_Mar_Sellout Support_RF _Asus_Select</v>
          </cell>
        </row>
        <row r="699">
          <cell r="C699" t="str">
            <v>RF UX3405MA-PZ551WS</v>
          </cell>
          <cell r="E699" t="str">
            <v>UX3405MA-PZ551WS</v>
          </cell>
          <cell r="F699" t="str">
            <v>90NB11R4-M00DC0</v>
          </cell>
          <cell r="G699" t="str">
            <v>INTEL CORE ULTRA 5-125H / EVO /  /  / 16GB LPDDR5X / 1TB PCIe® 4.0 SSD / 14.0-inch / 2.8K (2880 x 1800) 16:10 OLED Touch / 120Hz refresh rate / Foggy Silver / NumberPad /  /  / Backlit KB / Win 11 Home / MS Office / Sleeve</v>
          </cell>
          <cell r="H699">
            <v>66493</v>
          </cell>
          <cell r="I699">
            <v>53814</v>
          </cell>
          <cell r="J699">
            <v>59843</v>
          </cell>
          <cell r="K699">
            <v>48432</v>
          </cell>
          <cell r="L699">
            <v>6650</v>
          </cell>
          <cell r="M699">
            <v>5382</v>
          </cell>
          <cell r="N699" t="str">
            <v>01 - 29 MARCH</v>
          </cell>
          <cell r="O699" t="str">
            <v>(NB20260315)_Mar_Sellout Support_RF _Asus_Select</v>
          </cell>
        </row>
        <row r="700">
          <cell r="C700" t="str">
            <v>RF UX3405MA-PZ552WS</v>
          </cell>
          <cell r="E700" t="str">
            <v>UX3405MA-PZ552WS</v>
          </cell>
          <cell r="F700" t="str">
            <v>90NB11R3-M00DD0</v>
          </cell>
          <cell r="G700" t="str">
            <v>INTEL CORE ULTRA 5-125H / EVO /  /  / 16GB LPDDR5X / 1TB PCIe® 4.0 SSD / 14.0-inch / 2.8K (2880 x 1800) 16:10 OLED Touch / 120Hz refresh rate / Ponder Blue / NumberPad /  /  / Backlit KB / Win 11 Home / MS Office / Sleeve</v>
          </cell>
          <cell r="H700">
            <v>66493</v>
          </cell>
          <cell r="I700">
            <v>53814</v>
          </cell>
          <cell r="J700">
            <v>59843</v>
          </cell>
          <cell r="K700">
            <v>48432</v>
          </cell>
          <cell r="L700">
            <v>6650</v>
          </cell>
          <cell r="M700">
            <v>5382</v>
          </cell>
          <cell r="N700" t="str">
            <v>01 - 29 MARCH</v>
          </cell>
          <cell r="O700" t="str">
            <v>(NB20260315)_Mar_Sellout Support_RF _Asus_Select</v>
          </cell>
        </row>
        <row r="701">
          <cell r="C701" t="str">
            <v>RF UX5304VA-NQ542WS</v>
          </cell>
          <cell r="E701" t="str">
            <v>UX5304VA-NQ542WS</v>
          </cell>
          <cell r="F701" t="str">
            <v>90NB0Z92-M009D0</v>
          </cell>
          <cell r="G701" t="str">
            <v>Intel® Core™ i5-1335U EVO  /  /  / 16GB LPDDR5  / 512GB PCIe® 4.0 PeRF  SSD / 13.3-inch / 2.8K (2880 x 1800) OLED 16:10  /  / BASALT GREY  /  / Backlit KB / Win 11 Home / MS Office / Sleeve</v>
          </cell>
          <cell r="H701">
            <v>66493</v>
          </cell>
          <cell r="I701">
            <v>53814</v>
          </cell>
          <cell r="J701">
            <v>59843</v>
          </cell>
          <cell r="K701">
            <v>48432</v>
          </cell>
          <cell r="L701">
            <v>6650</v>
          </cell>
          <cell r="M701">
            <v>5382</v>
          </cell>
          <cell r="N701" t="str">
            <v>01 - 29 MARCH</v>
          </cell>
          <cell r="O701" t="str">
            <v>(NB20260315)_Mar_Sellout Support_RF _Asus_Select</v>
          </cell>
        </row>
        <row r="702">
          <cell r="C702" t="str">
            <v>RF FA506NCG-HN251WS</v>
          </cell>
          <cell r="E702" t="str">
            <v>FA506NCG-HN251WS</v>
          </cell>
          <cell r="F702" t="str">
            <v>90NR0JF7-M00LX0</v>
          </cell>
          <cell r="G702" t="str">
            <v>R7-7445HS/RTX3050 4GB/16GB DDR5 /1TB PCIE G4 SSD/15.6 FHD ANTI-GLARE NON-TOUCH,250NITS,NTSC:45%(144HZ),VIPS-NB(HN)/Backlit Chiclet Keyboard 1-Zone RGB/48WHrs, 3S1P, 3-cell Li-ion/OFFICE HOME 2024 (IN)+M365 BASIC//Black</v>
          </cell>
          <cell r="H702">
            <v>67992</v>
          </cell>
          <cell r="I702">
            <v>55027</v>
          </cell>
          <cell r="J702">
            <v>59992</v>
          </cell>
          <cell r="K702">
            <v>48553</v>
          </cell>
          <cell r="L702">
            <v>8000</v>
          </cell>
          <cell r="M702">
            <v>6474</v>
          </cell>
          <cell r="N702" t="str">
            <v>01 - 15 MARCH</v>
          </cell>
          <cell r="O702" t="str">
            <v>(NR260304) Asus your vibe your color your Deal _Sellout Support_RF _Select Store</v>
          </cell>
        </row>
        <row r="703">
          <cell r="C703" t="str">
            <v>RF UM3406KA-PP240WS</v>
          </cell>
          <cell r="E703" t="str">
            <v>UM3406KA-PP240WS</v>
          </cell>
          <cell r="F703" t="str">
            <v>90NB14U1-M00ER0</v>
          </cell>
          <cell r="G703" t="str">
            <v xml:space="preserve">AMD RYZEN AI 5 340 / LPDDR5 16G[ON BD.] / 512GB PCIEG4 / 14.0-inch / 14" OLED WQXGA+ BEND GLARE,400NITS(HDR),DCI-P3:100%(120HZ)-NB(PP) /  / JADE BLACK / Backlit KB / Win 11 Home / MS Office 2024 + MSO 365 / </v>
          </cell>
          <cell r="H703">
            <v>67193</v>
          </cell>
          <cell r="I703">
            <v>54381</v>
          </cell>
          <cell r="J703">
            <v>60193</v>
          </cell>
          <cell r="K703">
            <v>48716</v>
          </cell>
          <cell r="L703">
            <v>7000</v>
          </cell>
          <cell r="M703">
            <v>5665</v>
          </cell>
          <cell r="N703" t="str">
            <v>01 - 29 MARCH</v>
          </cell>
          <cell r="O703" t="str">
            <v>(NB20260315)_Mar_Sellout Support_RF _Asus_Select</v>
          </cell>
        </row>
        <row r="704">
          <cell r="C704" t="str">
            <v>RF S3607CA-RP065WS</v>
          </cell>
          <cell r="E704" t="str">
            <v>S3607CA-RP065WS</v>
          </cell>
          <cell r="F704" t="str">
            <v>90NB16I1-M004R0</v>
          </cell>
          <cell r="G704" t="str">
            <v xml:space="preserve">INTEL CORE ULTRA 5 225H / DDR5 16G[ON BD.] / 512GB PCIe® 4.0 SSD / 16.0-inch / 16" WUXGA ANTI-GLARE NON-TOUCH,300NITS,NTSC:45%(144HZ),VIPS-NB(RP) /  / 2S-COOL SILVER / Backlit KB / Win 11 Home / MS Office 2024 + MSO 365 / </v>
          </cell>
          <cell r="H704">
            <v>66392</v>
          </cell>
          <cell r="I704">
            <v>53733</v>
          </cell>
          <cell r="J704">
            <v>60792</v>
          </cell>
          <cell r="K704">
            <v>49200</v>
          </cell>
          <cell r="L704">
            <v>5600</v>
          </cell>
          <cell r="M704">
            <v>4533</v>
          </cell>
          <cell r="N704" t="str">
            <v>01 - 29 MARCH</v>
          </cell>
          <cell r="O704" t="str">
            <v>(NB20260315)_Mar_Sellout Support_RF _Asus_Select</v>
          </cell>
        </row>
        <row r="705">
          <cell r="C705" t="str">
            <v>RF FX607VJB-RL179WS</v>
          </cell>
          <cell r="E705" t="str">
            <v>FX607VJB-RL179WS</v>
          </cell>
          <cell r="F705" t="str">
            <v>90NR0MZ6-M009N0</v>
          </cell>
          <cell r="G705" t="str">
            <v>Intel Core5/RTX3050 6GB/16GB/512GB SSD/16.0 WUXGA ANTI-GLARE NON-TOUCH,300NITS/B,NTSC:45%(144HZ),VIPS-NB(RL)/Backlit Chiclet Keyboard 1-Zone RGB With Copilot key/56WHr/OFFICE HOME 2024 (IN)+M365 BASIC//Gray</v>
          </cell>
          <cell r="H705">
            <v>62292.999999999993</v>
          </cell>
          <cell r="I705">
            <v>50415</v>
          </cell>
          <cell r="J705">
            <v>60892.999999999993</v>
          </cell>
          <cell r="K705">
            <v>49282</v>
          </cell>
          <cell r="L705">
            <v>1400</v>
          </cell>
          <cell r="M705">
            <v>1133</v>
          </cell>
          <cell r="N705" t="str">
            <v>01 - 15 MARCH</v>
          </cell>
          <cell r="O705" t="str">
            <v>(NR260304) Asus your vibe your color your Deal _Sellout Support_RF _Select Store</v>
          </cell>
        </row>
        <row r="706">
          <cell r="C706" t="str">
            <v>RF FA607NUG-RL136WS</v>
          </cell>
          <cell r="E706" t="str">
            <v>FA607NUG-RL136WS</v>
          </cell>
          <cell r="F706" t="str">
            <v>90NR0MU3-M00870</v>
          </cell>
          <cell r="G706" t="str">
            <v>R7-7445HS/RTX4050 6GB/16GB DDR5 /512G PCIEG4/16.0 WUXGA ANTI-GLARE NON-TOUCH,300NITS/B,NTSC:45%(144HZ),VIPS-NB(RL)/Backlit Chiclet Keyboard 1-Zone RGB/48WHrs, 3S1P, 3-cell Li-ion/OFFICE HOME 2024 (IN)+M365 BASIC//Black</v>
          </cell>
          <cell r="H706">
            <v>74893</v>
          </cell>
          <cell r="I706">
            <v>60613</v>
          </cell>
          <cell r="J706">
            <v>60893</v>
          </cell>
          <cell r="K706">
            <v>49282</v>
          </cell>
          <cell r="L706">
            <v>14000</v>
          </cell>
          <cell r="M706">
            <v>11331</v>
          </cell>
          <cell r="N706" t="str">
            <v>01 - 15 MARCH</v>
          </cell>
          <cell r="O706" t="str">
            <v>(NR260304) Asus your vibe your color your Deal _Sellout Support_RF _Select Store</v>
          </cell>
        </row>
        <row r="707">
          <cell r="C707" t="str">
            <v>RF FX677VU-RL055WS</v>
          </cell>
          <cell r="E707" t="str">
            <v>FX677VU-RL055WS</v>
          </cell>
          <cell r="F707" t="str">
            <v>90NR0N06-M004X0</v>
          </cell>
          <cell r="G707" t="str">
            <v>Intel Core5/RTX4050 6GB/16GB DDR5/512GB PCIe® 4.0 NVMe™ M.2 SSD/16.0 WUXGA ANTI-GLARE NON-TOUCH,300NITS/B,NTSC:45%(144HZ),VIPS-NB(RL)/Backlit Chiclet Keyboard 1-Zone RGB
With Copilot key/56WHrs, 4S1P, 4-cell Li-ion/OFFICE HOME 2024 (IN)+M365 BASIC//Gray</v>
          </cell>
          <cell r="H707">
            <v>73493</v>
          </cell>
          <cell r="I707">
            <v>59480</v>
          </cell>
          <cell r="J707">
            <v>60893</v>
          </cell>
          <cell r="K707">
            <v>49282</v>
          </cell>
          <cell r="L707">
            <v>12600</v>
          </cell>
          <cell r="M707">
            <v>10198</v>
          </cell>
          <cell r="N707" t="str">
            <v>01 - 15 MARCH</v>
          </cell>
          <cell r="O707" t="str">
            <v>(NR260304) Asus your vibe your color your Deal _Sellout Support_RF _Select Store</v>
          </cell>
        </row>
        <row r="708">
          <cell r="C708" t="str">
            <v>RF TP3407SA-QL024WS</v>
          </cell>
          <cell r="E708" t="str">
            <v>TP3407SA-QL024WS</v>
          </cell>
          <cell r="F708" t="str">
            <v>90NB14Y1-M004M0</v>
          </cell>
          <cell r="G708" t="str">
            <v>INTEL CORE ULTRA 5 226V / EVO /  /  / LPDDR5X 16G [ON BD.] / 512G PCIE G4 / 14.0-inch / 
14" OLED WUXGA BEND GLARE TOUCH(OGM),400NITS(HDR),DCI-P3:100%-NB(QL) /  / MATT GREY / Backlit KB / Win 11 Home / Office Home 2024 &amp; M365 Basic 1 Year / Stylus</v>
          </cell>
          <cell r="H708">
            <v>65793</v>
          </cell>
          <cell r="I708">
            <v>53248</v>
          </cell>
          <cell r="J708">
            <v>60893</v>
          </cell>
          <cell r="K708">
            <v>49282</v>
          </cell>
          <cell r="L708">
            <v>4900</v>
          </cell>
          <cell r="M708">
            <v>3966</v>
          </cell>
          <cell r="N708" t="str">
            <v>01 - 29 MARCH</v>
          </cell>
          <cell r="O708" t="str">
            <v>(NB20260315)_Mar_Sellout Support_RF _Asus_Select</v>
          </cell>
        </row>
        <row r="709">
          <cell r="C709" t="str">
            <v>RF FX677VB-RL097WS</v>
          </cell>
          <cell r="E709" t="str">
            <v>FX677VB-RL097WS</v>
          </cell>
          <cell r="F709" t="str">
            <v>90NR0NF6-M005L0</v>
          </cell>
          <cell r="G709" t="str">
            <v>Intel Core5/ RTX3050A- 4GB/ DDR4 32GB/ 1TB PCIE G4 SSD/ 16.0 WUXGA ANTI-GLARE NON-TOUCH,300NITS/B,NTSC:45%(144HZ),VIPS-NB(RL)/ Backlit Chiclet Keyboard 1-Zone RGB
With Copilot key/ 56WHrs, 4S1P, 4-cell Li-ion/ Win 11/ OFFICE HOME 2024 &amp; M365 BASIC 1 Year/ / McAfee® 1 year/ Gray</v>
          </cell>
          <cell r="H709">
            <v>67992</v>
          </cell>
          <cell r="I709">
            <v>55027</v>
          </cell>
          <cell r="J709">
            <v>62392</v>
          </cell>
          <cell r="K709">
            <v>50495</v>
          </cell>
          <cell r="L709">
            <v>5600</v>
          </cell>
          <cell r="M709">
            <v>4532</v>
          </cell>
          <cell r="N709" t="str">
            <v>01 - 31 MARCH</v>
          </cell>
          <cell r="O709" t="str">
            <v>(NR260322) Asus Mar Top Picks_Sellout Support_RF _Select Store</v>
          </cell>
        </row>
        <row r="710">
          <cell r="C710" t="str">
            <v>RF FA607NUG-RL189WS</v>
          </cell>
          <cell r="E710" t="str">
            <v>FA607NUG-RL189WS</v>
          </cell>
          <cell r="F710" t="str">
            <v>90NR0MU3-M00BM0</v>
          </cell>
          <cell r="G710" t="str">
            <v>R7-7445HS/RTX4050 6GB/16GB DDR5 /1TB PCIE G4 SSD/16.0 WUXGA ANTI-GLARE NON-TOUCH,300NITS/B,NTSC:45%(144HZ),VIPS-NB(RL)/Backlit Chiclet Keyboard 1-Zone RGB/48WHrs, 3S1P, 3-cell Li-ion/OFFICE HOME 2024 (IN)+M365 BASIC//Black</v>
          </cell>
          <cell r="H710">
            <v>78393</v>
          </cell>
          <cell r="I710">
            <v>63445</v>
          </cell>
          <cell r="J710">
            <v>62993</v>
          </cell>
          <cell r="K710">
            <v>50982</v>
          </cell>
          <cell r="L710">
            <v>15399.999999999998</v>
          </cell>
          <cell r="M710">
            <v>12463</v>
          </cell>
          <cell r="N710" t="str">
            <v>01 - 15 MARCH</v>
          </cell>
          <cell r="O710" t="str">
            <v>(NR260304) Asus your vibe your color your Deal _Sellout Support_RF _Select Store</v>
          </cell>
        </row>
        <row r="711">
          <cell r="C711" t="str">
            <v>RF V3607VH-RP037WS</v>
          </cell>
          <cell r="E711" t="str">
            <v>V3607VH-RP037WS</v>
          </cell>
          <cell r="F711" t="str">
            <v>90NB16L1-M003K0</v>
          </cell>
          <cell r="G711" t="str">
            <v>Intel Core5/ RTX5050- 8GB/ 16G/ 512GB PCIe® 4.0 NVMe™ M.2 SSD/ 16" WUXGA ANTI-GLARE NON-TOUCH,300NITS,NTSC:45%(144HZ),VIPS-NB(RP)/ Backlit  Keyboard - With Copilot key/ 63Whr/ WIN 11/ OFFICE HOME 2024 (IN)+M365 BASIC/ 0/ McAfee(1 year)/ Black</v>
          </cell>
          <cell r="H711">
            <v>74893</v>
          </cell>
          <cell r="I711">
            <v>60613</v>
          </cell>
          <cell r="J711">
            <v>62993</v>
          </cell>
          <cell r="K711">
            <v>51085</v>
          </cell>
          <cell r="L711">
            <v>11900</v>
          </cell>
          <cell r="M711">
            <v>9528</v>
          </cell>
          <cell r="N711" t="str">
            <v>01 - 15 MARCH</v>
          </cell>
          <cell r="O711" t="str">
            <v>(NB20260350)_Mar_Your Vibe Your Color Your Deal_Sellout Support_RF _Select Store_Creator</v>
          </cell>
        </row>
        <row r="712">
          <cell r="C712" t="str">
            <v>RF S5606MA-MX751WS</v>
          </cell>
          <cell r="E712" t="str">
            <v>S5606MA-MX751WS</v>
          </cell>
          <cell r="F712" t="str">
            <v>90NB12E1-M000X0</v>
          </cell>
          <cell r="G712" t="str">
            <v xml:space="preserve">INTEL CORE ULTRA 7-155H / EVO /  /  / 16GB LPDDR5X  / 1TB PCIe® 4.0 SSD / 16-inch / 3.2K (3200 x 2000) OLED 16:10  /  / Mist Blue / RGB Backlit KB / Win 11 Home / MS Office / </v>
          </cell>
          <cell r="H712">
            <v>69293</v>
          </cell>
          <cell r="I712">
            <v>56080</v>
          </cell>
          <cell r="J712">
            <v>62993</v>
          </cell>
          <cell r="K712">
            <v>50982</v>
          </cell>
          <cell r="L712">
            <v>6300</v>
          </cell>
          <cell r="M712">
            <v>5098</v>
          </cell>
          <cell r="N712" t="str">
            <v>01 - 29 MARCH</v>
          </cell>
          <cell r="O712" t="str">
            <v>(NB20260315)_Mar_Sellout Support_RF _Asus_Select</v>
          </cell>
        </row>
        <row r="713">
          <cell r="C713" t="str">
            <v>RF UX3407RA-QD054WS</v>
          </cell>
          <cell r="E713" t="str">
            <v>UX3407RA-QD054WS</v>
          </cell>
          <cell r="F713" t="str">
            <v>90NB16G1-M004W0</v>
          </cell>
          <cell r="G713" t="str">
            <v xml:space="preserve">SNAPDRAGON X ELITE X1E78100 / LPDDR5X 16G [ON BD.] / 512G PCIE G4 / 14.0-inch / 14" OLED WUXGA BEND GLARE NON-TOUCH,400NITS(HDR),DCI-P3:100%-NB(QD) /  / ZABRISKIE BEIGE / Backlit KB / Win 11 Home / Office Home 2024 &amp; M365 Basic 1 Year / </v>
          </cell>
          <cell r="H713">
            <v>83993</v>
          </cell>
          <cell r="I713">
            <v>67977</v>
          </cell>
          <cell r="J713">
            <v>62993</v>
          </cell>
          <cell r="K713">
            <v>50982</v>
          </cell>
          <cell r="L713">
            <v>21000</v>
          </cell>
          <cell r="M713">
            <v>16995</v>
          </cell>
          <cell r="N713" t="str">
            <v>01 - 29 MARCH</v>
          </cell>
          <cell r="O713" t="str">
            <v>(NB20260315)_Mar_Sellout Support_RF _Asus_Select</v>
          </cell>
        </row>
        <row r="714">
          <cell r="C714" t="str">
            <v>RF UX3407RA-QD061WS</v>
          </cell>
          <cell r="E714" t="str">
            <v>UX3407RA-QD061WS</v>
          </cell>
          <cell r="F714" t="str">
            <v>90NB16G2-M005E0</v>
          </cell>
          <cell r="G714" t="str">
            <v xml:space="preserve">SNAPDRAGON X ELITE X1E78100 / LPDDR5X 16G [ON BD.] / 512G PCIE G4 / 14.0-inch / 14" OLED WUXGA BEND GLARE NON-TOUCH,400NITS(HDR),DCI-P3:100%-NB(QD) /  / ICELAND GRAY / Backlit KB / Win 11 Home / Office Home 2024 &amp; M365 Basic 1 Year / </v>
          </cell>
          <cell r="H714">
            <v>83993</v>
          </cell>
          <cell r="I714">
            <v>67977</v>
          </cell>
          <cell r="J714">
            <v>62993</v>
          </cell>
          <cell r="K714">
            <v>50982</v>
          </cell>
          <cell r="L714">
            <v>21000</v>
          </cell>
          <cell r="M714">
            <v>16995</v>
          </cell>
          <cell r="N714" t="str">
            <v>01 - 29 MARCH</v>
          </cell>
          <cell r="O714" t="str">
            <v>(NB20260315)_Mar_Sellout Support_RF _Asus_Select</v>
          </cell>
        </row>
        <row r="715">
          <cell r="C715" t="str">
            <v>RF M3407KA-SF047WS</v>
          </cell>
          <cell r="E715" t="str">
            <v>M3407KA-SF047WS</v>
          </cell>
          <cell r="F715" t="str">
            <v>90NB16P1-M002D0</v>
          </cell>
          <cell r="G715" t="str">
            <v xml:space="preserve">AMD RYZEN AI 7 350 / DDR5 16G[ON BD.] / 512GB PCIe® 4.0 SSD / 14.0-inch / 14" OLED WUXGA BEND GLARE NON-TOUCH,300NITS,DCI-P3:95%-NB(SF) /  / 2G-MATTE GRAY / Backlit KB / Win 11 Home / MS Office 2024 + MSO 365 / </v>
          </cell>
          <cell r="H715">
            <v>67192</v>
          </cell>
          <cell r="I715">
            <v>54380</v>
          </cell>
          <cell r="J715">
            <v>63692</v>
          </cell>
          <cell r="K715">
            <v>51547</v>
          </cell>
          <cell r="L715">
            <v>3500</v>
          </cell>
          <cell r="M715">
            <v>2833</v>
          </cell>
          <cell r="N715" t="str">
            <v>01 - 29 MARCH</v>
          </cell>
          <cell r="O715" t="str">
            <v>(NB20260315)_Mar_Sellout Support_RF _Asus_Select</v>
          </cell>
        </row>
        <row r="716">
          <cell r="C716" t="str">
            <v>RF M3407KA-SF2701WS</v>
          </cell>
          <cell r="E716" t="str">
            <v>M3407KA-SF2701WS</v>
          </cell>
          <cell r="F716" t="str">
            <v>90NB16P2-M000C0</v>
          </cell>
          <cell r="G716" t="str">
            <v xml:space="preserve">AMD RYZEN AI 7 350 / DDR5 16G[ON BD.] / 512GB PCIe® 4.0 SSD / 14.0-inch / 14" OLED WUXGA BEND GLARE NON-TOUCH,300NITS,DCI-P3:95%-NB(SF) /  / 2S-COOL SILVER / Backlit KB / Win 11 Home / MS Office 2024 + MSO 365 / </v>
          </cell>
          <cell r="H716">
            <v>67192</v>
          </cell>
          <cell r="I716">
            <v>54380</v>
          </cell>
          <cell r="J716">
            <v>63692</v>
          </cell>
          <cell r="K716">
            <v>51547</v>
          </cell>
          <cell r="L716">
            <v>3500</v>
          </cell>
          <cell r="M716">
            <v>2833</v>
          </cell>
          <cell r="N716" t="str">
            <v>01 - 29 MARCH</v>
          </cell>
          <cell r="O716" t="str">
            <v>(NB20260315)_Mar_Sellout Support_RF _Asus_Select</v>
          </cell>
        </row>
        <row r="717">
          <cell r="C717" t="str">
            <v>RF S3607CA-SH077WS</v>
          </cell>
          <cell r="E717" t="str">
            <v>S3607CA-SH077WS</v>
          </cell>
          <cell r="F717" t="str">
            <v>90NB16I1-M005V0</v>
          </cell>
          <cell r="G717" t="str">
            <v xml:space="preserve">INTEL CORE ULTRA 7 255H / DDR5 16G[ON BD.] / 512GB PCIe® 4.0 SSD / 16.0-inch / 16" OLED WUXGA BEND GLARE NON-TOUCH,300NITS,DCI-P3:95%-NB(SH) /  / 2S-COOL SILVER / Backlit KB / Win 11 Home / MS Office 2024 + MSO 365 / </v>
          </cell>
          <cell r="H717">
            <v>69293</v>
          </cell>
          <cell r="I717">
            <v>56080</v>
          </cell>
          <cell r="J717">
            <v>63693</v>
          </cell>
          <cell r="K717">
            <v>51548</v>
          </cell>
          <cell r="L717">
            <v>5600</v>
          </cell>
          <cell r="M717">
            <v>4532</v>
          </cell>
          <cell r="N717" t="str">
            <v>01 - 29 MARCH</v>
          </cell>
          <cell r="O717" t="str">
            <v>(NB20260315)_Mar_Sellout Support_RF _Asus_Select</v>
          </cell>
        </row>
        <row r="718">
          <cell r="C718" t="str">
            <v>RF S3607CA-SH071WS</v>
          </cell>
          <cell r="E718" t="str">
            <v>S3607CA-SH071WS</v>
          </cell>
          <cell r="F718" t="str">
            <v>90NB16I1-M00530</v>
          </cell>
          <cell r="G718" t="str">
            <v xml:space="preserve">INTEL CORE ULTRA 5 225H / DDR5 16G[ON BD.] / 512GB PCIe® 4.0 SSD / 16.0-inch / 16" OLED WUXGA BEND GLARE NON-TOUCH,300NITS,DCI-P3:95%-NB(SH) /  / 2S-COOL SILVER / Backlit KB / Win 11 Home / MS Office 2024 + MSO 365 / </v>
          </cell>
          <cell r="H718">
            <v>71192</v>
          </cell>
          <cell r="I718">
            <v>57617</v>
          </cell>
          <cell r="J718">
            <v>64892</v>
          </cell>
          <cell r="K718">
            <v>52519</v>
          </cell>
          <cell r="L718">
            <v>6300</v>
          </cell>
          <cell r="M718">
            <v>5098</v>
          </cell>
          <cell r="N718" t="str">
            <v>01 - 29 MARCH</v>
          </cell>
          <cell r="O718" t="str">
            <v>(NB20260315)_Mar_Sellout Support_RF _Asus_Select</v>
          </cell>
        </row>
        <row r="719">
          <cell r="C719" t="str">
            <v>RF FX507VU-LP210WS</v>
          </cell>
          <cell r="E719" t="str">
            <v>FX507VU-LP210WS</v>
          </cell>
          <cell r="F719" t="str">
            <v>90NR0CJ7-M00DK0</v>
          </cell>
          <cell r="G719" t="str">
            <v>i7-13620H/ RTX4050- 6GB/ 16G DDR5/ 512GB PCIe/ 15.6" FHD 144Hz/ Backlit Chiclet Keyboard 1-Zone RGB/ 90WHrs/ Win 11/ MSO 2021/ 720P HD camera/ McAfee® 1 year/ Mecha Gray</v>
          </cell>
          <cell r="H719">
            <v>69993</v>
          </cell>
          <cell r="I719">
            <v>56647</v>
          </cell>
          <cell r="J719">
            <v>65093</v>
          </cell>
          <cell r="K719">
            <v>52681</v>
          </cell>
          <cell r="L719">
            <v>4900</v>
          </cell>
          <cell r="M719">
            <v>3966</v>
          </cell>
          <cell r="N719" t="str">
            <v>01 - 31 MARCH</v>
          </cell>
          <cell r="O719" t="str">
            <v>(NR260322) Asus Mar Top Picks_Sellout Support_RF _Select Store</v>
          </cell>
        </row>
        <row r="720">
          <cell r="C720" t="str">
            <v>RF FX677VU-RL155WS</v>
          </cell>
          <cell r="E720" t="str">
            <v>FX677VU-RL155WS</v>
          </cell>
          <cell r="F720" t="str">
            <v>90NR0N06-M00AE0</v>
          </cell>
          <cell r="G720" t="str">
            <v>i7-13620H/ RTX4050- 6GB/ 16GB DDR5/ 512GB PCIe® 4.0 NVMe™ M.2 SSD/ FHD+ 16:10 (1920 x 1200, WUXGA)/16-inch/144Hz/ Backlit KB- 1 zone RGB/ 56WHr/ WIN 11/ OFFICE HOME 2024 &amp; M365 BASIC 1 Year/ / McAfee(1 year)/ Mecha Gray</v>
          </cell>
          <cell r="H720">
            <v>69993</v>
          </cell>
          <cell r="I720">
            <v>56647</v>
          </cell>
          <cell r="J720">
            <v>65793</v>
          </cell>
          <cell r="K720">
            <v>53248</v>
          </cell>
          <cell r="L720">
            <v>4200</v>
          </cell>
          <cell r="M720">
            <v>3399</v>
          </cell>
          <cell r="N720" t="str">
            <v>01 - 31 MARCH</v>
          </cell>
          <cell r="O720" t="str">
            <v>(NR260322) Asus Mar Top Picks_Sellout Support_RF _Select Store</v>
          </cell>
        </row>
        <row r="721">
          <cell r="C721" t="str">
            <v>RF FX607VJB-RL215WS</v>
          </cell>
          <cell r="E721" t="str">
            <v>FX607VJB-RL215WS</v>
          </cell>
          <cell r="F721" t="str">
            <v>90NR0MZ6-M00BS0</v>
          </cell>
          <cell r="G721" t="str">
            <v>Intel Core5/RTX3050 6GB/16GB/1TB SSD/16.0 WUXGA ANTI-GLARE NON-TOUCH,300NITS/B,NTSC:45%(144HZ),VIPS-NB(RL)/Backlit Chiclet Keyboard 1-Zone RGB With Copilot key/56WHr/OFFICE HOME 2024 (IN)+M365 BASIC//Gray</v>
          </cell>
          <cell r="H721">
            <v>67193</v>
          </cell>
          <cell r="I721">
            <v>54381</v>
          </cell>
          <cell r="J721">
            <v>65793</v>
          </cell>
          <cell r="K721">
            <v>53248</v>
          </cell>
          <cell r="L721">
            <v>1400</v>
          </cell>
          <cell r="M721">
            <v>1133</v>
          </cell>
          <cell r="N721" t="str">
            <v>01 - 15 MARCH</v>
          </cell>
          <cell r="O721" t="str">
            <v>(NR260304) Asus your vibe your color your Deal _Sellout Support_RF _Select Store</v>
          </cell>
        </row>
        <row r="722">
          <cell r="C722" t="str">
            <v>RF FA506NCG-HN250W</v>
          </cell>
          <cell r="E722" t="str">
            <v>FA506NCG-HN250W</v>
          </cell>
          <cell r="F722" t="str">
            <v>90NR0JF7-M00LU0</v>
          </cell>
          <cell r="G722" t="str">
            <v>R7-7445HS/RTX3050 4GB/32GB DDR5 /1TB PCIE G4 SSD/15.6 FHD ANTI-GLARE NON-TOUCH,250NITS,NTSC:45%(144HZ),VIPS-NB(HN)/Backlit Chiclet Keyboard 1-Zone RGB/48WHrs, 3S1P, 3-cell Li-ion/X//Black</v>
          </cell>
          <cell r="H722">
            <v>72792</v>
          </cell>
          <cell r="I722">
            <v>58912</v>
          </cell>
          <cell r="J722">
            <v>66392</v>
          </cell>
          <cell r="K722">
            <v>53733</v>
          </cell>
          <cell r="L722">
            <v>6400</v>
          </cell>
          <cell r="M722">
            <v>5179</v>
          </cell>
          <cell r="N722" t="str">
            <v>01 - 15 MARCH</v>
          </cell>
          <cell r="O722" t="str">
            <v>(NR260304) Asus your vibe your color your Deal _Sellout Support_RF _Select Store</v>
          </cell>
        </row>
        <row r="723">
          <cell r="C723" t="str">
            <v>RF FA507NVR-LP104WS</v>
          </cell>
          <cell r="E723" t="str">
            <v>FA507NVR-LP104WS</v>
          </cell>
          <cell r="F723" t="str">
            <v>90NR0JK5-M00680</v>
          </cell>
          <cell r="G723" t="str">
            <v>R7-7435HS/ RTX4060- 8GB/ 16GB [16GB DDR5 X 1]/ 512G Gen 4 SSD/ 15.6" FHD 144Hz/ Backlit KB- 1 zone RGB/ 90Whr/ WIN 11/ MSO 2021/ / / MECHA GRAY</v>
          </cell>
          <cell r="H723">
            <v>69993</v>
          </cell>
          <cell r="I723">
            <v>56647</v>
          </cell>
          <cell r="J723">
            <v>66493</v>
          </cell>
          <cell r="K723">
            <v>53814</v>
          </cell>
          <cell r="L723">
            <v>3500</v>
          </cell>
          <cell r="M723">
            <v>2833</v>
          </cell>
          <cell r="N723" t="str">
            <v>01 - 31 MARCH</v>
          </cell>
          <cell r="O723" t="str">
            <v>(NR260322) Asus Mar Top Picks_Sellout Support_RF _Select Store</v>
          </cell>
        </row>
        <row r="724">
          <cell r="C724" t="str">
            <v>RF FA507NVR-LP204WS</v>
          </cell>
          <cell r="E724" t="str">
            <v>FA507NVR-LP204WS</v>
          </cell>
          <cell r="F724" t="str">
            <v>90NR0JK5-M00890</v>
          </cell>
          <cell r="G724" t="str">
            <v>R7-7435HS/ RTX4060- 8GB/ 16GB [16GB DDR5 X 1]/ 512G Gen 4 SSD/ 15.6" FHD 144Hz/ Backlit KB- 1 zone RGB/ 90Whr/ WIN 11/ OFFICE HOME 2024 &amp; M365 BASIC 1 Year/ / / MECHA GRAY</v>
          </cell>
          <cell r="H724">
            <v>69993</v>
          </cell>
          <cell r="I724">
            <v>56647</v>
          </cell>
          <cell r="J724">
            <v>66493</v>
          </cell>
          <cell r="K724">
            <v>53814</v>
          </cell>
          <cell r="L724">
            <v>3500</v>
          </cell>
          <cell r="M724">
            <v>2833</v>
          </cell>
          <cell r="N724" t="str">
            <v>01 - 31 MARCH</v>
          </cell>
          <cell r="O724" t="str">
            <v>(NR260322) Asus Mar Top Picks_Sellout Support_RF _Select Store</v>
          </cell>
        </row>
        <row r="725">
          <cell r="C725" t="str">
            <v>RF S5406SA-QD094WS</v>
          </cell>
          <cell r="E725" t="str">
            <v>S5406SA-QD094WS</v>
          </cell>
          <cell r="F725" t="str">
            <v>90NB15R2-M00D80</v>
          </cell>
          <cell r="G725" t="str">
            <v xml:space="preserve">INTEL CORE ULTRA 7 256V / EVO /  /  / 16GB LPDDR5X  / 512G PCIE G4 / 14.0-inch / 14" OLED WUXGA BEND GLARE NON-TOUCH,400NITS(HDR),DCI-P3:100%-NB(QD) /  / Mist Blue / RGB Backlit KB / Win 11 Home / Office Home 2024 &amp; M365 Basic 1 Year / </v>
          </cell>
          <cell r="H725">
            <v>74893</v>
          </cell>
          <cell r="I725">
            <v>60613</v>
          </cell>
          <cell r="J725">
            <v>66493</v>
          </cell>
          <cell r="K725">
            <v>53814</v>
          </cell>
          <cell r="L725">
            <v>8400</v>
          </cell>
          <cell r="M725">
            <v>6799</v>
          </cell>
          <cell r="N725" t="str">
            <v>01 - 29 MARCH</v>
          </cell>
          <cell r="O725" t="str">
            <v>(NB20260315)_Mar_Sellout Support_RF _Asus_Select</v>
          </cell>
        </row>
        <row r="726">
          <cell r="C726" t="str">
            <v>RF UX3405CA-PZ162WS</v>
          </cell>
          <cell r="E726" t="str">
            <v>UX3405CA-PZ162WS</v>
          </cell>
          <cell r="F726" t="str">
            <v>90NB14W3-M00E90</v>
          </cell>
          <cell r="G726" t="str">
            <v xml:space="preserve">Intel® Core™ Ultra 5  225H 1.7 GHz  / EVO /  /  / LPDDR5 16G[ON BD.] / 1TB PCIEG4 / 14.0-inch / 14" OLED WQXGA+ BEND GLARE TOUCH(OGM),400NITS(HDR),DCI-P3:100%(120HZ)-NB(PZ) /  / PONDER BLUE / Backlit KB / Win 11 Home / Office Home 2024 &amp; M365 Basic 1 Year / </v>
          </cell>
          <cell r="H726">
            <v>73493</v>
          </cell>
          <cell r="I726">
            <v>59480</v>
          </cell>
          <cell r="J726">
            <v>66493</v>
          </cell>
          <cell r="K726">
            <v>53814</v>
          </cell>
          <cell r="L726">
            <v>7000</v>
          </cell>
          <cell r="M726">
            <v>5666</v>
          </cell>
          <cell r="N726" t="str">
            <v>01 - 29 MARCH</v>
          </cell>
          <cell r="O726" t="str">
            <v>(NB20260315)_Mar_Sellout Support_RF _Asus_Select</v>
          </cell>
        </row>
        <row r="727">
          <cell r="C727" t="str">
            <v>RF UX3405CA-PZ345WS</v>
          </cell>
          <cell r="E727" t="str">
            <v>UX3405CA-PZ345WS</v>
          </cell>
          <cell r="F727" t="str">
            <v>90NB14W4-M00E60</v>
          </cell>
          <cell r="G727" t="str">
            <v xml:space="preserve">Intel® Core™ Ultra 5  225H 1.7 GHz / EVO /  /  / LPDDR5 16G[ON BD.] / 1TB PCIEG4 / 14.0-inch / 14" OLED WQXGA+ BEND GLARE TOUCH(OGM),400NITS(HDR),DCI-P3:100%(120HZ)-NB(PZ) /  / FOGGY SILVER / Backlit KB / Win 11 Home / Office Home 2024 &amp; M365 Basic 1 Year / </v>
          </cell>
          <cell r="H727">
            <v>73493</v>
          </cell>
          <cell r="I727">
            <v>59480</v>
          </cell>
          <cell r="J727">
            <v>66493</v>
          </cell>
          <cell r="K727">
            <v>53814</v>
          </cell>
          <cell r="L727">
            <v>7000</v>
          </cell>
          <cell r="M727">
            <v>5666</v>
          </cell>
          <cell r="N727" t="str">
            <v>01 - 29 MARCH</v>
          </cell>
          <cell r="O727" t="str">
            <v>(NB20260315)_Mar_Sellout Support_RF _Asus_Select</v>
          </cell>
        </row>
        <row r="728">
          <cell r="C728" t="str">
            <v>RF M3407KA-SF048WS</v>
          </cell>
          <cell r="E728" t="str">
            <v>M3407KA-SF048WS</v>
          </cell>
          <cell r="F728" t="str">
            <v>90NB16P2-M002E0</v>
          </cell>
          <cell r="G728" t="str">
            <v xml:space="preserve">AMD RYZEN AI 7 350 / DDR5 16G[ON BD.] / 1TB PCIe® 4.0 SSD / 14.0-inch / 14" OLED WUXGA BEND GLARE NON-TOUCH,300NITS,DCI-P3:95%-NB(SF) /  / 2S-COOL SILVER / Backlit KB / Win 11 Home / MS Office 2024 + MSO 365 / </v>
          </cell>
          <cell r="H728">
            <v>70392</v>
          </cell>
          <cell r="I728">
            <v>56970</v>
          </cell>
          <cell r="J728">
            <v>67592</v>
          </cell>
          <cell r="K728">
            <v>54704</v>
          </cell>
          <cell r="L728">
            <v>2800</v>
          </cell>
          <cell r="M728">
            <v>2266</v>
          </cell>
          <cell r="N728" t="str">
            <v>01 - 29 MARCH</v>
          </cell>
          <cell r="O728" t="str">
            <v>(NB20260315)_Mar_Sellout Support_RF _Asus_Select</v>
          </cell>
        </row>
        <row r="729">
          <cell r="C729" t="str">
            <v>RF M3407KA-SF049WS</v>
          </cell>
          <cell r="E729" t="str">
            <v>M3407KA-SF049WS</v>
          </cell>
          <cell r="F729" t="str">
            <v>90NB16P1-M002F0</v>
          </cell>
          <cell r="G729" t="str">
            <v xml:space="preserve">AMD RYZEN AI 7 350 / DDR5 16G[ON BD.] / 1TB PCIe® 4.0 SSD / 14.0-inch / 14" OLED WUXGA BEND GLARE NON-TOUCH,300NITS,DCI-P3:95%-NB(SF) /  / 2G-MATTE GRAY / Backlit KB / Win 11 Home / MS Office 2024 + MSO 365 / </v>
          </cell>
          <cell r="H729">
            <v>70392</v>
          </cell>
          <cell r="I729">
            <v>56970</v>
          </cell>
          <cell r="J729">
            <v>67592</v>
          </cell>
          <cell r="K729">
            <v>54704</v>
          </cell>
          <cell r="L729">
            <v>2800</v>
          </cell>
          <cell r="M729">
            <v>2266</v>
          </cell>
          <cell r="N729" t="str">
            <v>01 - 29 MARCH</v>
          </cell>
          <cell r="O729" t="str">
            <v>(NB20260315)_Mar_Sellout Support_RF _Asus_Select</v>
          </cell>
        </row>
        <row r="730">
          <cell r="C730" t="str">
            <v>RF UX8402ZA-LM711WS</v>
          </cell>
          <cell r="E730" t="str">
            <v>UX8402ZA-LM711WS</v>
          </cell>
          <cell r="F730" t="str">
            <v>90NB0X72-M002P0</v>
          </cell>
          <cell r="G730" t="str">
            <v>Intel® Core™ i7-12700H  /EVO /Integrated Graphics /  / Tech Black / 14.5-inch / 2.8K (2880 x 1800) OLED 16:10 aspect ratio / 16GB LPDDR5 / 1TB M.2 NVMe™ PCIe® 4.0 PeRF ormance SSD /  / Backlit Chiclet Keyboard / Sleeve
Stand
Stylus / Windows 11 Home / Office Home and Student 2021 included</v>
          </cell>
          <cell r="H730">
            <v>74994</v>
          </cell>
          <cell r="I730">
            <v>60694</v>
          </cell>
          <cell r="J730">
            <v>67994</v>
          </cell>
          <cell r="K730">
            <v>55029</v>
          </cell>
          <cell r="L730">
            <v>7000</v>
          </cell>
          <cell r="M730">
            <v>5665</v>
          </cell>
          <cell r="N730" t="str">
            <v>01 - 29 MARCH</v>
          </cell>
          <cell r="O730" t="str">
            <v>(NB20260315)_Mar_Sellout Support_RF _Asus_Select</v>
          </cell>
        </row>
        <row r="731">
          <cell r="C731" t="str">
            <v>RF UX5304VA-NQ741WS</v>
          </cell>
          <cell r="E731" t="str">
            <v>UX5304VA-NQ741WS</v>
          </cell>
          <cell r="F731" t="str">
            <v>90NB0Z93-M009C0</v>
          </cell>
          <cell r="G731" t="str">
            <v>Intel® Core™ i7-1355U EVO  /  /  / 16GB LPDDR5  / 1TB PCIe® 4.0 SSD / 13.3-inch / 2.8K (2880 x 1800) OLED 16:10  /  / Ponder Blue /  / Backlit KB / Win 11 Home / MS Office / Sleeve</v>
          </cell>
          <cell r="H731">
            <v>76993</v>
          </cell>
          <cell r="I731">
            <v>62312</v>
          </cell>
          <cell r="J731">
            <v>69293</v>
          </cell>
          <cell r="K731">
            <v>56080</v>
          </cell>
          <cell r="L731">
            <v>7700</v>
          </cell>
          <cell r="M731">
            <v>6232</v>
          </cell>
          <cell r="N731" t="str">
            <v>01 - 29 MARCH</v>
          </cell>
          <cell r="O731" t="str">
            <v>(NB20260315)_Mar_Sellout Support_RF _Asus_Select</v>
          </cell>
        </row>
        <row r="732">
          <cell r="C732" t="str">
            <v>RF UX3405MA-PZ752WS</v>
          </cell>
          <cell r="E732" t="str">
            <v>UX3405MA-PZ752WS</v>
          </cell>
          <cell r="F732" t="str">
            <v>90NB11R3-M00560</v>
          </cell>
          <cell r="G732" t="str">
            <v>INTEL CORE ULTRA 7-155H / EVO /  /  / 16GB LPDDR5X / 1TB PCIe® 4.0 SSD / 14.0-inch / 2.8K (2880 x 1800) 16:10 OLED Touch / 120Hz refresh rate / Ponder Blue / NumberPad /  /  / Backlit KB / Win 11 Home / MS Office / Sleeve</v>
          </cell>
          <cell r="H732">
            <v>73493</v>
          </cell>
          <cell r="I732">
            <v>59480</v>
          </cell>
          <cell r="J732">
            <v>69493</v>
          </cell>
          <cell r="K732">
            <v>56242</v>
          </cell>
          <cell r="L732">
            <v>4000</v>
          </cell>
          <cell r="M732">
            <v>3238</v>
          </cell>
          <cell r="N732" t="str">
            <v>01 - 29 MARCH</v>
          </cell>
          <cell r="O732" t="str">
            <v>(NB20260315)_Mar_Sellout Support_RF _Asus_Select</v>
          </cell>
        </row>
        <row r="733">
          <cell r="C733" t="str">
            <v>RF UX3405MA-PZ751WS</v>
          </cell>
          <cell r="E733" t="str">
            <v>UX3405MA-PZ751WS</v>
          </cell>
          <cell r="F733" t="str">
            <v>90NB11R4-M00540</v>
          </cell>
          <cell r="G733" t="str">
            <v>INTEL CORE ULTRA 7-155H / EVO /  /  / 16GB LPDDR5X / 1TB PCIe® 4.0 SSD / 14.0-inch / 2.8K (2880 x 1800) 16:10 OLED Touch / 120Hz refresh rate / Foggy Silver / NumberPad /  /  / Backlit KB / Win 11 Home / MS Office / Sleeve</v>
          </cell>
          <cell r="H733">
            <v>73493</v>
          </cell>
          <cell r="I733">
            <v>59480</v>
          </cell>
          <cell r="J733">
            <v>69493</v>
          </cell>
          <cell r="K733">
            <v>56242</v>
          </cell>
          <cell r="L733">
            <v>4000</v>
          </cell>
          <cell r="M733">
            <v>3238</v>
          </cell>
          <cell r="N733" t="str">
            <v>01 - 29 MARCH</v>
          </cell>
          <cell r="O733" t="str">
            <v>(NB20260315)_Mar_Sellout Support_RF _Asus_Select</v>
          </cell>
        </row>
        <row r="734">
          <cell r="C734" t="str">
            <v>RF FA607NUG-RL191WS</v>
          </cell>
          <cell r="E734" t="str">
            <v>FA607NUG-RL191WS</v>
          </cell>
          <cell r="F734" t="str">
            <v>90NR0MU3-M00BS0</v>
          </cell>
          <cell r="G734" t="str">
            <v>R7-7445HS/RTX4050 6GB/32GB DDR5 /1TB PCIE G4 SSD/16.0 WUXGA ANTI-GLARE NON-TOUCH,300NITS/B,NTSC:45%(144HZ),VIPS-NB(RL)/Backlit Chiclet Keyboard 1-Zone RGB/48WHrs, 3S1P, 3-cell Li-ion/OFFICE HOME 2024 (IN)+M365 BASIC//Black</v>
          </cell>
          <cell r="H734">
            <v>81893</v>
          </cell>
          <cell r="I734">
            <v>66278</v>
          </cell>
          <cell r="J734">
            <v>69993</v>
          </cell>
          <cell r="K734">
            <v>56647</v>
          </cell>
          <cell r="L734">
            <v>11900</v>
          </cell>
          <cell r="M734">
            <v>9631</v>
          </cell>
          <cell r="N734" t="str">
            <v>01 - 15 MARCH</v>
          </cell>
          <cell r="O734" t="str">
            <v>(NR260304) Asus your vibe your color your Deal _Sellout Support_RF _Select Store</v>
          </cell>
        </row>
        <row r="735">
          <cell r="C735" t="str">
            <v>RF FX608JH-RV057WS</v>
          </cell>
          <cell r="E735" t="str">
            <v>FX608JH-RV057WS</v>
          </cell>
          <cell r="F735" t="str">
            <v>90NR0MH1-M003K0</v>
          </cell>
          <cell r="G735" t="str">
            <v>i5-13450HX/ RTX5050- 8GB/ 16G/ 1T/ 16.0 WUXGA ANTI-GLARE NON-TOUCH,300NITS/B,SRGB 100%(165HZ),IPS-NB(RV)/ Backlit  Keyboard - With Copilot key/ 90Whr/ WIN 11/ OFFICE HOME 2024 (IN)+M365 BASIC/ 0/ McAfee(1 year)/ Grey</v>
          </cell>
          <cell r="H735">
            <v>83993</v>
          </cell>
          <cell r="I735">
            <v>67977</v>
          </cell>
          <cell r="J735">
            <v>69993</v>
          </cell>
          <cell r="K735">
            <v>56647</v>
          </cell>
          <cell r="L735">
            <v>14000</v>
          </cell>
          <cell r="M735">
            <v>11330</v>
          </cell>
          <cell r="N735" t="str">
            <v>01 - 15 MARCH</v>
          </cell>
          <cell r="O735" t="str">
            <v>(NR260304) Asus your vibe your color your Deal _Sellout Support_RF _Select Store</v>
          </cell>
        </row>
        <row r="736">
          <cell r="C736" t="str">
            <v>RF V3607VH-RP038WS</v>
          </cell>
          <cell r="E736" t="str">
            <v>V3607VH-RP038WS</v>
          </cell>
          <cell r="F736" t="str">
            <v>90NB16L1-M003L0</v>
          </cell>
          <cell r="G736" t="str">
            <v>Intel Core7/ RTX5050- 8GB/ 16G/ 512GB PCIe® 4.0 NVMe™ M.2 SSD/ 16" WUXGA ANTI-GLARE NON-TOUCH,300NITS,NTSC:45%(144HZ),VIPS-NB(RP)/ Backlit  Keyboard - With Copilot key/ 63Whr/ WIN 11/ OFFICE HOME 2024 (IN)+M365 BASIC/ 0/ McAfee(1 year)/ Black</v>
          </cell>
          <cell r="H736">
            <v>80493</v>
          </cell>
          <cell r="I736">
            <v>65145</v>
          </cell>
          <cell r="J736">
            <v>69993</v>
          </cell>
          <cell r="K736">
            <v>56762</v>
          </cell>
          <cell r="L736">
            <v>10500</v>
          </cell>
          <cell r="M736">
            <v>8383</v>
          </cell>
          <cell r="N736" t="str">
            <v>01 - 15 MARCH</v>
          </cell>
          <cell r="O736" t="str">
            <v>(NB20260350)_Mar_Your Vibe Your Color Your Deal_Sellout Support_RF _Select Store_Creator</v>
          </cell>
        </row>
        <row r="737">
          <cell r="C737" t="str">
            <v>RF UX5304MA-NQ751WS</v>
          </cell>
          <cell r="E737" t="str">
            <v>UX5304MA-NQ751WS</v>
          </cell>
          <cell r="F737" t="str">
            <v>90NB12V3-M002Z0</v>
          </cell>
          <cell r="G737" t="str">
            <v>INTEL CORE ULTRA 7 155U / EVO /  /  / 16GB LPDDR5X / 1TB PCIe® 4.0 SSD / 13.3-inch / 3K (2880 x 1800) OLED 16:10  /  / Ponder Blue / Backlit KB / Win 11 Home / MS Office / Sleeve</v>
          </cell>
          <cell r="H737">
            <v>90993</v>
          </cell>
          <cell r="I737">
            <v>73643</v>
          </cell>
          <cell r="J737">
            <v>69993</v>
          </cell>
          <cell r="K737">
            <v>56647</v>
          </cell>
          <cell r="L737">
            <v>21000</v>
          </cell>
          <cell r="M737">
            <v>16996</v>
          </cell>
          <cell r="N737" t="str">
            <v>01 - 29 MARCH</v>
          </cell>
          <cell r="O737" t="str">
            <v>(NB20260315)_Mar_Sellout Support_RF _Asus_Select</v>
          </cell>
        </row>
        <row r="738">
          <cell r="C738" t="str">
            <v>RF UX5304MA-NQ761WS</v>
          </cell>
          <cell r="E738" t="str">
            <v>UX5304MA-NQ761WS</v>
          </cell>
          <cell r="F738" t="str">
            <v>90NB12V3-M006C0</v>
          </cell>
          <cell r="G738" t="str">
            <v>INTEL CORE ULTRA 7 155U / EVO /  /  / 32GB LPDDR5X / 1TB PCIe® 4.0 SSD / 13.3-inch / 3K (2880 x 1800) OLED 16:10  /  / Ponder Blue / Backlit KB / Win 11 Home / MS Office / Sleeve</v>
          </cell>
          <cell r="H738">
            <v>97993</v>
          </cell>
          <cell r="I738">
            <v>79308</v>
          </cell>
          <cell r="J738">
            <v>69993</v>
          </cell>
          <cell r="K738">
            <v>56647</v>
          </cell>
          <cell r="L738">
            <v>28000</v>
          </cell>
          <cell r="M738">
            <v>22661</v>
          </cell>
          <cell r="N738" t="str">
            <v>01 - 29 MARCH</v>
          </cell>
          <cell r="O738" t="str">
            <v>(NB20260315)_Mar_Sellout Support_RF _Asus_Select</v>
          </cell>
        </row>
        <row r="739">
          <cell r="C739" t="str">
            <v>RF FX507VV-LP287W</v>
          </cell>
          <cell r="E739" t="str">
            <v>FX507VV-LP287W</v>
          </cell>
          <cell r="F739" t="str">
            <v>90NR0BV7-M00MB0</v>
          </cell>
          <cell r="G739" t="str">
            <v>i7-13620H/ RTX4060- 8GB GDDR6/ 16GB DDR5-4800 SO-DIMM/ 512G PCIe® 4.0/ 15.6" FHD 144Hz/ Backlit KB- 1 zone RGB/ 90WHr/ WIN 11/ / / McAfee(1 year)/ Mecha Gray</v>
          </cell>
          <cell r="H739">
            <v>98991</v>
          </cell>
          <cell r="I739">
            <v>80116</v>
          </cell>
          <cell r="J739">
            <v>73493</v>
          </cell>
          <cell r="K739">
            <v>59480</v>
          </cell>
          <cell r="L739">
            <v>25498</v>
          </cell>
          <cell r="M739">
            <v>20636</v>
          </cell>
          <cell r="N739" t="str">
            <v>01 - 31 MARCH</v>
          </cell>
          <cell r="O739" t="str">
            <v>(NR260322) Asus Mar Top Picks_Sellout Support_RF _Select Store</v>
          </cell>
        </row>
        <row r="740">
          <cell r="C740" t="str">
            <v>RF FX507VV-LP487WS</v>
          </cell>
          <cell r="E740" t="str">
            <v>FX507VV-LP487WS</v>
          </cell>
          <cell r="F740" t="str">
            <v>90NR0BV7-M00T40</v>
          </cell>
          <cell r="G740" t="str">
            <v>i7-13620H/RTX4060 8GB/16GB DDR5 /1TB PCIe® 4.0 NVMe™ M.2 SSD/FHD (1920 x 1080) 16:9/15.6-inch/144Hz/Backlit Chiclet Keyboard 1-Zone RGB/90WHrs, 4S1P, 4-cell Li-ion/OFFICE HOME 2024 (IN)+M365 BASIC//Gray</v>
          </cell>
          <cell r="H740">
            <v>80493</v>
          </cell>
          <cell r="I740">
            <v>65145</v>
          </cell>
          <cell r="J740">
            <v>73493</v>
          </cell>
          <cell r="K740">
            <v>59480</v>
          </cell>
          <cell r="L740">
            <v>7000</v>
          </cell>
          <cell r="M740">
            <v>5665</v>
          </cell>
          <cell r="N740" t="str">
            <v>01 - 31 MARCH</v>
          </cell>
          <cell r="O740" t="str">
            <v>(NR260322) Asus Mar Top Picks_Sellout Support_RF _Select Store</v>
          </cell>
        </row>
        <row r="741">
          <cell r="C741" t="str">
            <v>RF M5406WA-PP961WS</v>
          </cell>
          <cell r="E741" t="str">
            <v>M5406WA-PP961WS</v>
          </cell>
          <cell r="F741" t="str">
            <v>90NB14P3-M00080</v>
          </cell>
          <cell r="G741" t="str">
            <v xml:space="preserve">AMD Ryzen  AI9 HX370 Strixpoint 12C / 24GB LPDDR5X / 512GB M.2 NVMe™ PCIe® 4.0 SSD / 14-inch / 2.8K OLED, 600nits HDR peak brightness / 120Hz refresh rate / Neutral Black / RGB Backlit KB / Win 11 Home / MS Office / </v>
          </cell>
          <cell r="H741">
            <v>80493</v>
          </cell>
          <cell r="I741">
            <v>65145</v>
          </cell>
          <cell r="J741">
            <v>73493</v>
          </cell>
          <cell r="K741">
            <v>59480</v>
          </cell>
          <cell r="L741">
            <v>7000</v>
          </cell>
          <cell r="M741">
            <v>5665</v>
          </cell>
          <cell r="N741" t="str">
            <v>01 - 29 MARCH</v>
          </cell>
          <cell r="O741" t="str">
            <v>(NB20260315)_Mar_Sellout Support_RF _Asus_Select</v>
          </cell>
        </row>
        <row r="742">
          <cell r="C742" t="str">
            <v>RF M5406WA-PP962WS</v>
          </cell>
          <cell r="E742" t="str">
            <v>M5406WA-PP962WS</v>
          </cell>
          <cell r="F742" t="str">
            <v>90NB14P1-M00090</v>
          </cell>
          <cell r="G742" t="str">
            <v xml:space="preserve">AMD Ryzen  AI9 HX370 Strixpoint 12C / 24GB LPDDR5X / 512GB M.2 NVMe™ PCIe® 4.0 SSD / 14-inch / 2.8K OLED, 600nits HDR peak brightness / 120Hz refresh rate / Cool Silver / RGB Backlit KB / Win 11 Home / MS Office / </v>
          </cell>
          <cell r="H742">
            <v>80493</v>
          </cell>
          <cell r="I742">
            <v>65145</v>
          </cell>
          <cell r="J742">
            <v>73493</v>
          </cell>
          <cell r="K742">
            <v>59480</v>
          </cell>
          <cell r="L742">
            <v>7000</v>
          </cell>
          <cell r="M742">
            <v>5665</v>
          </cell>
          <cell r="N742" t="str">
            <v>01 - 29 MARCH</v>
          </cell>
          <cell r="O742" t="str">
            <v>(NB20260315)_Mar_Sellout Support_RF _Asus_Select</v>
          </cell>
        </row>
        <row r="743">
          <cell r="C743" t="str">
            <v>RF TP3407SA-QL025WS</v>
          </cell>
          <cell r="E743" t="str">
            <v>TP3407SA-QL025WS</v>
          </cell>
          <cell r="F743" t="str">
            <v>90NB14Y1-M004N0</v>
          </cell>
          <cell r="G743" t="str">
            <v>INTEL CORE ULTRA 7 256V / EVO /  /  / LPDDR5X 16G [ON BD.] / 512G PCIE G4 / 14.0-inch / 
14" OLED WUXGA BEND GLARE TOUCH(OGM),400NITS(HDR),DCI-P3:100%-NB(QL) /  / MATT GREY / Backlit KB / Win 11 Home / Office Home 2024 &amp; M365 Basic 1 Year / Stylus</v>
          </cell>
          <cell r="H743">
            <v>76293</v>
          </cell>
          <cell r="I743">
            <v>61746</v>
          </cell>
          <cell r="J743">
            <v>73493</v>
          </cell>
          <cell r="K743">
            <v>59480</v>
          </cell>
          <cell r="L743">
            <v>2800</v>
          </cell>
          <cell r="M743">
            <v>2266</v>
          </cell>
          <cell r="N743" t="str">
            <v>01 - 29 MARCH</v>
          </cell>
          <cell r="O743" t="str">
            <v>(NB20260315)_Mar_Sellout Support_RF _Asus_Select</v>
          </cell>
        </row>
        <row r="744">
          <cell r="C744" t="str">
            <v>RF UP5401ZA-KN711WS</v>
          </cell>
          <cell r="E744" t="str">
            <v>UP5401ZA-KN711WS</v>
          </cell>
          <cell r="F744" t="str">
            <v>90NB0XL1-M00140</v>
          </cell>
          <cell r="G744" t="str">
            <v xml:space="preserve">Intel® i7-12700H / 16GB LPDDR5 /  / 1 TB PCIe® 4.0 PeRF ormance SSD / 14.0-inch / 2.8K (2880 x 1800) OLED 16:10 aspect ratio / 90Hz refresh rate / Intel Iris Xᵉ Graphics / Touch screen / Pine Grey / NumberPad / FingerPrint / Backlit Chiclet Keyboard / Windows 11 Home / Office Home and Student 2021 </v>
          </cell>
          <cell r="H744">
            <v>80493</v>
          </cell>
          <cell r="I744">
            <v>65145</v>
          </cell>
          <cell r="J744">
            <v>73493</v>
          </cell>
          <cell r="K744">
            <v>59480</v>
          </cell>
          <cell r="L744">
            <v>7000</v>
          </cell>
          <cell r="M744">
            <v>5665</v>
          </cell>
          <cell r="N744" t="str">
            <v>01 - 29 MARCH</v>
          </cell>
          <cell r="O744" t="str">
            <v>(NB20260315)_Mar_Sellout Support_RF _Asus_Select</v>
          </cell>
        </row>
        <row r="745">
          <cell r="C745" t="str">
            <v>RF UX8402ZE-M711WS</v>
          </cell>
          <cell r="E745" t="str">
            <v>UX8402ZE-M711WS</v>
          </cell>
          <cell r="F745" t="str">
            <v>90NB0X82-M00610</v>
          </cell>
          <cell r="G745" t="str">
            <v>Intel® Core™ i7-12700H  / NVIDIA® GeForce® RTX™ 3050 Ti Laptop GPU / 4GB GDDR6 / Tech Black / 14.5-inch / 2.8K (2880 x 1800) OLED 16:10 aspect ratio / 16GB LPDDR5 / 1TB M.2 NVMe™ PCIe® 4.0 PeRF ormance SSD /  / Backlit Chiclet Keyboard / Sleeve
Stand
Stylus / Windows 11 Home / Office Home and Student 2021 included</v>
          </cell>
          <cell r="H745">
            <v>83994</v>
          </cell>
          <cell r="I745">
            <v>67978</v>
          </cell>
          <cell r="J745">
            <v>73494</v>
          </cell>
          <cell r="K745">
            <v>59480</v>
          </cell>
          <cell r="L745">
            <v>10500</v>
          </cell>
          <cell r="M745">
            <v>8498</v>
          </cell>
          <cell r="N745" t="str">
            <v>01 - 29 MARCH</v>
          </cell>
          <cell r="O745" t="str">
            <v>(NB20260315)_Mar_Sellout Support_RF _Asus_Select</v>
          </cell>
        </row>
        <row r="746">
          <cell r="C746" t="str">
            <v>RF UX3405CA-PZ163WS</v>
          </cell>
          <cell r="E746" t="str">
            <v>UX3405CA-PZ163WS</v>
          </cell>
          <cell r="F746" t="str">
            <v>90NB14W3-M00EA0</v>
          </cell>
          <cell r="G746" t="str">
            <v xml:space="preserve">Intel® Core™ Ultra 7  255H 2.0 GHz / EVO /  /  / LPDDR5 32G[ON BD.] / 1TB PCIEG4 / 14.0-inch / 14" OLED WQXGA+ BEND GLARE TOUCH(OGM),400NITS(HDR),DCI-P3:100%(120HZ)-NB(PZ) /  / PONDER BLUE / Backlit KB / Win 11 Home / Office Home 2024 &amp; M365 Basic 1 Year / </v>
          </cell>
          <cell r="H746">
            <v>83993</v>
          </cell>
          <cell r="I746">
            <v>67977</v>
          </cell>
          <cell r="J746">
            <v>74893</v>
          </cell>
          <cell r="K746">
            <v>60613</v>
          </cell>
          <cell r="L746">
            <v>9100</v>
          </cell>
          <cell r="M746">
            <v>7364</v>
          </cell>
          <cell r="N746" t="str">
            <v>01 - 29 MARCH</v>
          </cell>
          <cell r="O746" t="str">
            <v>(NB20260315)_Mar_Sellout Support_RF _Asus_Select</v>
          </cell>
        </row>
        <row r="747">
          <cell r="C747" t="str">
            <v>RF UX3405CA-PZ348WS</v>
          </cell>
          <cell r="E747" t="str">
            <v>UX3405CA-PZ348WS</v>
          </cell>
          <cell r="F747" t="str">
            <v>90NB14W4-M00EC0</v>
          </cell>
          <cell r="G747" t="str">
            <v xml:space="preserve">Intel® Core™ Ultra 7  255H 2.0 GHz / EVO /  /  / LPDDR5 32G[ON BD.] / 1TB PCIEG4 / 14.0-inch / 14" OLED WQXGA+ BEND GLARE TOUCH(OGM),400NITS(HDR),DCI-P3:100%(120HZ)-NB(PZ) /  / FOGGY SILVER / Backlit KB / Win 11 Home / Office Home 2024 &amp; M365 Basic 1 Year / </v>
          </cell>
          <cell r="H747">
            <v>83993</v>
          </cell>
          <cell r="I747">
            <v>67977</v>
          </cell>
          <cell r="J747">
            <v>74893</v>
          </cell>
          <cell r="K747">
            <v>60613</v>
          </cell>
          <cell r="L747">
            <v>9100</v>
          </cell>
          <cell r="M747">
            <v>7364</v>
          </cell>
          <cell r="N747" t="str">
            <v>01 - 29 MARCH</v>
          </cell>
          <cell r="O747" t="str">
            <v>(NB20260315)_Mar_Sellout Support_RF _Asus_Select</v>
          </cell>
        </row>
        <row r="748">
          <cell r="C748" t="str">
            <v>RF G614JU-N3526WS</v>
          </cell>
          <cell r="E748" t="str">
            <v>G614JU-N3526WS</v>
          </cell>
          <cell r="F748" t="str">
            <v>90NR0CC1-M01510</v>
          </cell>
          <cell r="G748" t="str">
            <v>i5-13450HX/ RTX4050- 6GB/ 16G/ 1TB PCIe® 4.0 NVMe™ M.2 SSD/ FHD+ 16:10 (1920 x 1200, WUXGA)/16-inch/165Hz/ Backlit Chiclet Keyboard 4-Zone RGB/ 90WHrs, 4S1P, 4-cell Li-ion/ Windows 11 Home/ OFFICE HOME 2024 (IN)+M365 BASIC/ / McAfee® 1 year/ Grey</v>
          </cell>
          <cell r="H748">
            <v>81893</v>
          </cell>
          <cell r="I748">
            <v>66278</v>
          </cell>
          <cell r="J748">
            <v>76293</v>
          </cell>
          <cell r="K748">
            <v>61746</v>
          </cell>
          <cell r="L748">
            <v>5600</v>
          </cell>
          <cell r="M748">
            <v>4532</v>
          </cell>
          <cell r="N748" t="str">
            <v>01 - 31 MARCH</v>
          </cell>
          <cell r="O748" t="str">
            <v>(NR260322) Asus Mar Top Picks_Sellout Support_RF _Select Store</v>
          </cell>
        </row>
        <row r="749">
          <cell r="C749" t="str">
            <v>RF FA507UV-LP137WS</v>
          </cell>
          <cell r="E749" t="str">
            <v>FA507UV-LP137WS</v>
          </cell>
          <cell r="F749" t="str">
            <v>90NR0I25-M00840</v>
          </cell>
          <cell r="G749" t="str">
            <v>R9-8945H/ RTX4060- 8GB GDDR6/ 16G DDR5/ 1TB PCIe/ 15.6" FHD 144Hz/ Backlit Chiclet Keyboard 1-Zone RGB/ 90WHrs/ Win 11/ MSO 2021/ 720P HD camera/ McAfee® 1 year/ Mecha Gray</v>
          </cell>
          <cell r="H749">
            <v>87493</v>
          </cell>
          <cell r="I749">
            <v>70810</v>
          </cell>
          <cell r="J749">
            <v>76993</v>
          </cell>
          <cell r="K749">
            <v>62312</v>
          </cell>
          <cell r="L749">
            <v>10500</v>
          </cell>
          <cell r="M749">
            <v>8498</v>
          </cell>
          <cell r="N749" t="str">
            <v>01 - 31 MARCH</v>
          </cell>
          <cell r="O749" t="str">
            <v>(NR260322) Asus Mar Top Picks_Sellout Support_RF _Select Store</v>
          </cell>
        </row>
        <row r="750">
          <cell r="C750" t="str">
            <v>RF V3607VM-RP057WS</v>
          </cell>
          <cell r="E750" t="str">
            <v>V3607VM-RP057WS</v>
          </cell>
          <cell r="F750" t="str">
            <v>90NB16K1-M004P0</v>
          </cell>
          <cell r="G750" t="str">
            <v>Intel Core7/ RTX5060- 8GB/ 16G/ 512GB PCIe® 4.0 NVMe™ M.2 SSD/ 16" WUXGA ANTI-GLARE NON-TOUCH,300NITS,NTSC:45%(144HZ),VIPS-NB(RP)/ Backlit  Keyboard - With Copilot key/ 63Whr/ WIN 11/ OFFICE HOME 2024 (IN)+M365 BASIC/ 0/ McAfee(1 year)/ Black</v>
          </cell>
          <cell r="H750">
            <v>87493</v>
          </cell>
          <cell r="I750">
            <v>70810</v>
          </cell>
          <cell r="J750">
            <v>76993</v>
          </cell>
          <cell r="K750">
            <v>62439</v>
          </cell>
          <cell r="L750">
            <v>10500</v>
          </cell>
          <cell r="M750">
            <v>8371</v>
          </cell>
          <cell r="N750" t="str">
            <v>01 - 15 MARCH</v>
          </cell>
          <cell r="O750" t="str">
            <v>(NB20260350)_Mar_Your Vibe Your Color Your Deal_Sellout Support_RF _Select Store_Creator</v>
          </cell>
        </row>
        <row r="751">
          <cell r="C751" t="str">
            <v>RF G614JU-N3549W</v>
          </cell>
          <cell r="E751" t="str">
            <v>G614JU-N3549W</v>
          </cell>
          <cell r="F751" t="str">
            <v>90NR0CC1-M016U0</v>
          </cell>
          <cell r="G751" t="str">
            <v>i7-13650HX/RTX4050 6GB/16GB DDR5 /512GB M.2 NVMe™ PCIe® 4.0 SSD/FHD+ 16:10 (1920 x 1200, WUXGA)/16-inch/165Hz/Backlit Chiclet Keyboard 4-Zone RGB/90WHrs, 4S1P, 4-cell Li-ion///Gray</v>
          </cell>
          <cell r="H751">
            <v>84693</v>
          </cell>
          <cell r="I751">
            <v>68544</v>
          </cell>
          <cell r="J751">
            <v>77693</v>
          </cell>
          <cell r="K751">
            <v>62879</v>
          </cell>
          <cell r="L751">
            <v>7000</v>
          </cell>
          <cell r="M751">
            <v>5665</v>
          </cell>
          <cell r="N751" t="str">
            <v>01 - 31 MARCH</v>
          </cell>
          <cell r="O751" t="str">
            <v>(NR260322) Asus Mar Top Picks_Sellout Support_RF _Select Store</v>
          </cell>
        </row>
        <row r="752">
          <cell r="C752" t="str">
            <v>RF S5506MA-MA952WS</v>
          </cell>
          <cell r="E752" t="str">
            <v>S5506MA-MA952WS</v>
          </cell>
          <cell r="F752" t="str">
            <v>90NB14E1-M001K0</v>
          </cell>
          <cell r="G752" t="str">
            <v xml:space="preserve">INTEL CORE ULTRA 9-185H / EVO /  /  / 16GB LPDDR5X  / 1TB PCIe® 4.0 SSD / 15.6-inch / 3K (2880 x 1620) OLED 16:9  /  / Neutral Black / RGB Backlit KB / Win 11 Home / MS Office / </v>
          </cell>
          <cell r="H752">
            <v>83993</v>
          </cell>
          <cell r="I752">
            <v>67977</v>
          </cell>
          <cell r="J752">
            <v>77693</v>
          </cell>
          <cell r="K752">
            <v>62879</v>
          </cell>
          <cell r="L752">
            <v>6300</v>
          </cell>
          <cell r="M752">
            <v>5098</v>
          </cell>
          <cell r="N752" t="str">
            <v>01 - 29 MARCH</v>
          </cell>
          <cell r="O752" t="str">
            <v>(NB20260315)_Mar_Sellout Support_RF _Asus_Select</v>
          </cell>
        </row>
        <row r="753">
          <cell r="C753" t="str">
            <v>RF UX5304MA-NQ762WS</v>
          </cell>
          <cell r="E753" t="str">
            <v>UX5304MA-NQ762WS</v>
          </cell>
          <cell r="F753" t="str">
            <v>90NB12V2-M006B0</v>
          </cell>
          <cell r="G753" t="str">
            <v>INTEL CORE ULTRA 7 155U / EVO /  /  / 32GB LPDDR5X / 1TB PCIe® 4.0 SSD / 13.3-inch / 3K (2880 x 1800) OLED 16:10  /  / BASALT GREY / Backlit KB / Win 11 Home / MS Office / Sleeve</v>
          </cell>
          <cell r="H753">
            <v>99393</v>
          </cell>
          <cell r="I753">
            <v>80441</v>
          </cell>
          <cell r="J753">
            <v>77693</v>
          </cell>
          <cell r="K753">
            <v>62879</v>
          </cell>
          <cell r="L753">
            <v>21700</v>
          </cell>
          <cell r="M753">
            <v>17562</v>
          </cell>
          <cell r="N753" t="str">
            <v>01 - 29 MARCH</v>
          </cell>
          <cell r="O753" t="str">
            <v>(NB20260315)_Mar_Sellout Support_RF _Asus_Select</v>
          </cell>
        </row>
        <row r="754">
          <cell r="C754" t="str">
            <v>RF UX9702AA-MD023WS</v>
          </cell>
          <cell r="E754" t="str">
            <v>UX9702AA-MD023WS</v>
          </cell>
          <cell r="F754" t="str">
            <v>90NB0WX1-M002N0</v>
          </cell>
          <cell r="G754" t="str">
            <v>Intel® Core™ i7-1250U  / EVO /  / 16GB LPDDR5  / 1TB PCIe® 4.0 PeRF ormance SSD / 17.3-inch / 2560 x 1920 FOLED 4:3  /  / Tech Black /  / Win 11 Home / MS Office / Sleeve
USB-C to USB-A adapter</v>
          </cell>
          <cell r="H754">
            <v>89994</v>
          </cell>
          <cell r="I754">
            <v>72834</v>
          </cell>
          <cell r="J754">
            <v>79494</v>
          </cell>
          <cell r="K754">
            <v>64336</v>
          </cell>
          <cell r="L754">
            <v>10500</v>
          </cell>
          <cell r="M754">
            <v>8498</v>
          </cell>
          <cell r="N754" t="str">
            <v>01 - 29 MARCH</v>
          </cell>
          <cell r="O754" t="str">
            <v>(NB20260315)_Mar_Sellout Support_RF _Asus_Select</v>
          </cell>
        </row>
        <row r="755">
          <cell r="C755" t="str">
            <v>RF G614JU-N3200WS</v>
          </cell>
          <cell r="E755" t="str">
            <v>G614JU-N3200WS</v>
          </cell>
          <cell r="F755" t="str">
            <v>90NR0CC1-M00B80</v>
          </cell>
          <cell r="G755" t="str">
            <v>i7-13650HX/ RTX4050- 6GB/ 16GB DDR5 (2 x 8GB slot)/ 1T SSD (Gen4)/ 16.0 WUXGA-165HZ, 250NITS/B,SRGB 100%/ Backlit KB- 4 zone RGB/ 90Whr/ WIN 11/ Office H&amp;S 2021/ / McAfee(1 year)/ 1C-GRAY</v>
          </cell>
          <cell r="H755">
            <v>86093</v>
          </cell>
          <cell r="I755">
            <v>69677</v>
          </cell>
          <cell r="J755">
            <v>79793</v>
          </cell>
          <cell r="K755">
            <v>64578</v>
          </cell>
          <cell r="L755">
            <v>6300</v>
          </cell>
          <cell r="M755">
            <v>5099</v>
          </cell>
          <cell r="N755" t="str">
            <v>01 - 31 MARCH</v>
          </cell>
          <cell r="O755" t="str">
            <v>(NR260322) Asus Mar Top Picks_Sellout Support_RF _Select Store</v>
          </cell>
        </row>
        <row r="756">
          <cell r="C756" t="str">
            <v>RF G614JU-N4200WS</v>
          </cell>
          <cell r="E756" t="str">
            <v>G614JU-N4200WS</v>
          </cell>
          <cell r="F756" t="str">
            <v>90NR0CC1-M013C0</v>
          </cell>
          <cell r="G756" t="str">
            <v>i7-13650HX/ RTX4050- 6GB/ 16GB DDR5 (2 x 8GB slot)/ 1T SSD (Gen4)/ 16.0 WUXGA-165HZ, 250NITS/B,SRGB 100%/ Backlit KB- 4 zone RGB/ 90Whr/ WIN 11/ OFFICE HOME 2024 &amp; M365 BASIC 1 Year/ / McAfee(1 year)/ 1C-GRAY</v>
          </cell>
          <cell r="H756">
            <v>86093</v>
          </cell>
          <cell r="I756">
            <v>69677</v>
          </cell>
          <cell r="J756">
            <v>79793</v>
          </cell>
          <cell r="K756">
            <v>64578</v>
          </cell>
          <cell r="L756">
            <v>6300</v>
          </cell>
          <cell r="M756">
            <v>5099</v>
          </cell>
          <cell r="N756" t="str">
            <v>01 - 31 MARCH</v>
          </cell>
          <cell r="O756" t="str">
            <v>(NR260322) Asus Mar Top Picks_Sellout Support_RF _Select Store</v>
          </cell>
        </row>
        <row r="757">
          <cell r="C757" t="str">
            <v>RF FA401UU-RG033WS</v>
          </cell>
          <cell r="E757" t="str">
            <v>FA401UU-RG033WS</v>
          </cell>
          <cell r="F757" t="str">
            <v>90NR0JD1-M001Z0</v>
          </cell>
          <cell r="G757" t="str">
            <v>R7-8845HS/ RTX4050- 6GB/ 16G DDR5/ 1TB PCIe/ 14" 2.K QHD 165Hz/ Backlit Chiclet Keyboard Single Light with Copilot Key/ 73WHrs/ Win 11/ MSO 2021/ 1080P FHD IR Camera/ McAfee® 1 year/ 1A-JAEGER GRAY</v>
          </cell>
          <cell r="H757">
            <v>90993</v>
          </cell>
          <cell r="I757">
            <v>73643</v>
          </cell>
          <cell r="J757">
            <v>80493</v>
          </cell>
          <cell r="K757">
            <v>65145</v>
          </cell>
          <cell r="L757">
            <v>10500</v>
          </cell>
          <cell r="M757">
            <v>8498</v>
          </cell>
          <cell r="N757" t="str">
            <v>01 - 31 MARCH</v>
          </cell>
          <cell r="O757" t="str">
            <v>(NR260322) Asus Mar Top Picks_Sellout Support_RF _Select Store</v>
          </cell>
        </row>
        <row r="758">
          <cell r="C758" t="str">
            <v>RF UX3405CA-PZ164WS</v>
          </cell>
          <cell r="E758" t="str">
            <v>UX3405CA-PZ164WS</v>
          </cell>
          <cell r="F758" t="str">
            <v>90NB14W3-M00EB0</v>
          </cell>
          <cell r="G758" t="str">
            <v xml:space="preserve">Intel® Core™ Ultra 9  285H 2.9 GHz / EVO /  /  / LPDDR5 32G[ON BD.] / 1TB PCIEG4 / 14.0-inch / 14" OLED WQXGA+ BEND GLARE TOUCH(OGM),400NITS(HDR),DCI-P3:100%(120HZ)-NB(PZ) /  / PONDER BLUE / Backlit KB / Win 11 Home / Office Home 2024 &amp; M365 Basic 1 Year / </v>
          </cell>
          <cell r="H758">
            <v>88893</v>
          </cell>
          <cell r="I758">
            <v>71943</v>
          </cell>
          <cell r="J758">
            <v>80493</v>
          </cell>
          <cell r="K758">
            <v>65145</v>
          </cell>
          <cell r="L758">
            <v>8400</v>
          </cell>
          <cell r="M758">
            <v>6798</v>
          </cell>
          <cell r="N758" t="str">
            <v>01 - 29 MARCH</v>
          </cell>
          <cell r="O758" t="str">
            <v>(NB20260315)_Mar_Sellout Support_RF _Asus_Select</v>
          </cell>
        </row>
        <row r="759">
          <cell r="C759" t="str">
            <v>RF UX3405CA-PZ349WS</v>
          </cell>
          <cell r="E759" t="str">
            <v>UX3405CA-PZ349WS</v>
          </cell>
          <cell r="F759" t="str">
            <v>90NB14W4-M00ED0</v>
          </cell>
          <cell r="G759" t="str">
            <v xml:space="preserve">Intel® Core™ Ultra 9  285H 2.9 GHz  / EVO /  /  / LPDDR5 32G[ON BD.] / 1TB PCIEG4 / 14.0-inch / 14" OLED WQXGA+ BEND GLARE TOUCH(OGM),400NITS(HDR),DCI-P3:100%(120HZ)-NB(PZ) /  / FOGGY SILVER / Backlit KB / Win 11 Home / Office Home 2024 &amp; M365 Basic 1 Year / </v>
          </cell>
          <cell r="H759">
            <v>88893</v>
          </cell>
          <cell r="I759">
            <v>71943</v>
          </cell>
          <cell r="J759">
            <v>80493</v>
          </cell>
          <cell r="K759">
            <v>65145</v>
          </cell>
          <cell r="L759">
            <v>8400</v>
          </cell>
          <cell r="M759">
            <v>6798</v>
          </cell>
          <cell r="N759" t="str">
            <v>01 - 29 MARCH</v>
          </cell>
          <cell r="O759" t="str">
            <v>(NB20260315)_Mar_Sellout Support_RF _Asus_Select</v>
          </cell>
        </row>
        <row r="760">
          <cell r="C760" t="str">
            <v>RF FX507VU-LP210W</v>
          </cell>
          <cell r="E760" t="str">
            <v>FX507VU-LP210W</v>
          </cell>
          <cell r="F760" t="str">
            <v>90NR0CJ7-M00PD0</v>
          </cell>
          <cell r="G760" t="str">
            <v>i7-13620H/ RTX4050- 6GB/ 16GB DDR5-4800 SO-DIMM/ 512GB PCIe® 4.0 NVMe™ M.2 SSD/ 15.6" FHD 144Hz/ Backlit KB- 1 zone RGB/ 90WHr/ WIN 11/ / / McAfee(1 year)/ Mecha Gray</v>
          </cell>
          <cell r="H760">
            <v>88191</v>
          </cell>
          <cell r="I760">
            <v>71375</v>
          </cell>
          <cell r="J760">
            <v>81891</v>
          </cell>
          <cell r="K760">
            <v>66276</v>
          </cell>
          <cell r="L760">
            <v>6300</v>
          </cell>
          <cell r="M760">
            <v>5099</v>
          </cell>
          <cell r="N760" t="str">
            <v>01 - 31 MARCH</v>
          </cell>
          <cell r="O760" t="str">
            <v>(NR260322) Asus Mar Top Picks_Sellout Support_RF _Select Store</v>
          </cell>
        </row>
        <row r="761">
          <cell r="C761" t="str">
            <v>RF HT5306QA-LX002WS</v>
          </cell>
          <cell r="E761" t="str">
            <v>HT5306QA-LX002WS</v>
          </cell>
          <cell r="F761" t="str">
            <v>90NB1441-M002H0</v>
          </cell>
          <cell r="G761" t="str">
            <v>SNAPDRAGON X PLUS X1P 42 100_Upto 45 Tops/ Qualcomm® Adreno™ GPU- / 16GB LPDDR5X on board/ 1TB PCIe® 4.0 NVMe™ M.2 SSD/ /13.3" Touch 3K OLED 60Hz Display/ Softkeyboard with CoPilot Key/ 70Wh/ WIN 11/ Office H&amp;S 2021/ Stylus/Backpack/ McAfee(1 year)/ NANO BLACK</v>
          </cell>
          <cell r="H761">
            <v>87493</v>
          </cell>
          <cell r="I761">
            <v>70810</v>
          </cell>
          <cell r="J761">
            <v>83993</v>
          </cell>
          <cell r="K761">
            <v>67977</v>
          </cell>
          <cell r="L761">
            <v>3500</v>
          </cell>
          <cell r="M761">
            <v>2833</v>
          </cell>
          <cell r="N761" t="str">
            <v>01 - 31 MARCH</v>
          </cell>
          <cell r="O761" t="str">
            <v>(NB20260365)_Mar_Top Picks_Sellout Support_RF _Select Store_Creator</v>
          </cell>
        </row>
        <row r="762">
          <cell r="C762" t="str">
            <v>RF HT5306QA-LX402WS</v>
          </cell>
          <cell r="E762" t="str">
            <v>HT5306QA-LX402WS</v>
          </cell>
          <cell r="F762" t="str">
            <v>90NB1441-M005J0</v>
          </cell>
          <cell r="G762" t="str">
            <v>SNAPDRAGON X PLUS X1P42100/Qualcomm® Adreno™ GPU /16GB DDR5 /1TB M.2 NVMe™ PCIe® 4.0 SSD/13.3-inch/3K (2880 x 1800) OLED 16:10 aspect ratio/60Hz refresh rate/Soft Keyboard With Copilot key</v>
          </cell>
          <cell r="H762">
            <v>87493</v>
          </cell>
          <cell r="I762">
            <v>70810</v>
          </cell>
          <cell r="J762">
            <v>83993</v>
          </cell>
          <cell r="K762">
            <v>67977</v>
          </cell>
          <cell r="L762">
            <v>3500</v>
          </cell>
          <cell r="M762">
            <v>2833</v>
          </cell>
          <cell r="N762" t="str">
            <v>01 - 31 MARCH</v>
          </cell>
          <cell r="O762" t="str">
            <v>(NB20260365)_Mar_Top Picks_Sellout Support_RF _Select Store_Creator</v>
          </cell>
        </row>
        <row r="763">
          <cell r="C763" t="str">
            <v>RF S5606MA-MX951WS</v>
          </cell>
          <cell r="E763" t="str">
            <v>S5606MA-MX951WS</v>
          </cell>
          <cell r="F763" t="str">
            <v>90NB12E1-M000Y0</v>
          </cell>
          <cell r="G763" t="str">
            <v xml:space="preserve">INTEL CORE ULTRA 9-185H / EVO /  /  / 16GB LPDDR5X  / 1TB PCIe® 4.0 SSD / 16-inch / 3.2K (3200 x 2000) OLED 16:10  /  / Mist Blue / RGB Backlit KB / Win 11 Home / MS Office / </v>
          </cell>
          <cell r="H763">
            <v>87493</v>
          </cell>
          <cell r="I763">
            <v>70810</v>
          </cell>
          <cell r="J763">
            <v>83993</v>
          </cell>
          <cell r="K763">
            <v>67977</v>
          </cell>
          <cell r="L763">
            <v>3500</v>
          </cell>
          <cell r="M763">
            <v>2833</v>
          </cell>
          <cell r="N763" t="str">
            <v>01 - 29 MARCH</v>
          </cell>
          <cell r="O763" t="str">
            <v>(NB20260315)_Mar_Sellout Support_RF _Asus_Select</v>
          </cell>
        </row>
        <row r="764">
          <cell r="C764" t="str">
            <v>RF UX5304MA-NQ752WS</v>
          </cell>
          <cell r="E764" t="str">
            <v>UX5304MA-NQ752WS</v>
          </cell>
          <cell r="F764" t="str">
            <v>90NB12V2-M00320</v>
          </cell>
          <cell r="G764" t="str">
            <v>INTEL CORE ULTRA 7 155U / EVO /  /  / 16GB LPDDR5X / 1TB PCIe® 4.0 SSD / 13.3-inch / 3K (2880 x 1800) OLED 16:10  /  / BASALT GREY / Backlit KB / Win 11 Home / MS Office / Sleeve</v>
          </cell>
          <cell r="H764">
            <v>92393</v>
          </cell>
          <cell r="I764">
            <v>74776</v>
          </cell>
          <cell r="J764">
            <v>85393</v>
          </cell>
          <cell r="K764">
            <v>69110</v>
          </cell>
          <cell r="L764">
            <v>7000</v>
          </cell>
          <cell r="M764">
            <v>5666</v>
          </cell>
          <cell r="N764" t="str">
            <v>01 - 29 MARCH</v>
          </cell>
          <cell r="O764" t="str">
            <v>(NB20260315)_Mar_Sellout Support_RF _Asus_Select</v>
          </cell>
        </row>
        <row r="765">
          <cell r="C765" t="str">
            <v>RF FA507UV-LP136WS</v>
          </cell>
          <cell r="E765" t="str">
            <v>FA507UV-LP136WS</v>
          </cell>
          <cell r="F765" t="str">
            <v>90NR0I25-M00760</v>
          </cell>
          <cell r="G765" t="str">
            <v>R7-8845HS/ RTX4060- 8GB GDDR6/ 8G+8G/ 512G PCIe® 4.0/ 15.6" FHD 144Hz/ Backlit KB- 1 zone RGB/ 90WHr/ WIN 11/ Office H&amp;S 2021/ / McAfee(1 year)/ Mecha Gray</v>
          </cell>
          <cell r="H765">
            <v>99992</v>
          </cell>
          <cell r="I765">
            <v>80926</v>
          </cell>
          <cell r="J765">
            <v>87992</v>
          </cell>
          <cell r="K765">
            <v>71214</v>
          </cell>
          <cell r="L765">
            <v>12000</v>
          </cell>
          <cell r="M765">
            <v>9712</v>
          </cell>
          <cell r="N765" t="str">
            <v>01 - 31 MARCH</v>
          </cell>
          <cell r="O765" t="str">
            <v>(NR260322) Asus Mar Top Picks_Sellout Support_RF _Select Store</v>
          </cell>
        </row>
        <row r="766">
          <cell r="C766" t="str">
            <v>RF UX8406MA-QL551WS</v>
          </cell>
          <cell r="E766" t="str">
            <v>UX8406MA-QL551WS</v>
          </cell>
          <cell r="F766" t="str">
            <v>90NB12U1-M00HB0</v>
          </cell>
          <cell r="G766" t="str">
            <v>INTEL CORE ULTRA 5-125H / EVO /  /  / 16GB LPDRR5X / 1TB PCIe® 4.0 SSD / 14.0-inch / WUXGA OLED /  / Inkwell Grey / Soft keyboard dock / Win 11 Home / MS Office / Stylus/Mini Adpater</v>
          </cell>
          <cell r="H766">
            <v>97993</v>
          </cell>
          <cell r="I766">
            <v>79308</v>
          </cell>
          <cell r="J766">
            <v>88193</v>
          </cell>
          <cell r="K766">
            <v>71377</v>
          </cell>
          <cell r="L766">
            <v>9800</v>
          </cell>
          <cell r="M766">
            <v>7931</v>
          </cell>
          <cell r="N766" t="str">
            <v>01 - 29 MARCH</v>
          </cell>
          <cell r="O766" t="str">
            <v>(NB20260315)_Mar_Sellout Support_RF _Asus_Select</v>
          </cell>
        </row>
        <row r="767">
          <cell r="C767" t="str">
            <v>RF UX5406SA-PV356WS</v>
          </cell>
          <cell r="E767" t="str">
            <v>UX5406SA-PV356WS</v>
          </cell>
          <cell r="F767" t="str">
            <v>90NB14F2-M00JF0</v>
          </cell>
          <cell r="G767" t="str">
            <v>Intel® Core™ Ultra 7 - 256V / EVO /   /  / 16GB LPDDR5X / 512GB PCIe® 4.0 SSD / 14.0-inch / 14.0" 2880x1800 OLED(+Glass) Glare, Narrow Border, W/O BKT, 400nits, eDP1.4, DCIP3100%, 1ms, 100000CR, 120Hz /  / SCANDINAVIAN WHITE /  /   /  / Backlit KB / Win 11 Home / MS Office / Sleeve</v>
          </cell>
          <cell r="H767">
            <v>94493</v>
          </cell>
          <cell r="I767">
            <v>76475</v>
          </cell>
          <cell r="J767">
            <v>91293</v>
          </cell>
          <cell r="K767">
            <v>73885</v>
          </cell>
          <cell r="L767">
            <v>3200</v>
          </cell>
          <cell r="M767">
            <v>2590</v>
          </cell>
          <cell r="N767" t="str">
            <v>01 - 29 MARCH</v>
          </cell>
          <cell r="O767" t="str">
            <v>(NB20260315)_Mar_Sellout Support_RF _Asus_Select</v>
          </cell>
        </row>
        <row r="768">
          <cell r="C768" t="str">
            <v>RF UX5406SA-PZ448WS</v>
          </cell>
          <cell r="E768" t="str">
            <v>UX5406SA-PZ448WS</v>
          </cell>
          <cell r="F768" t="str">
            <v>90NB14F3-M00SZ0</v>
          </cell>
          <cell r="G768" t="str">
            <v>INTEL CORE ULTRA 7 256V / EVO /  /  /16GB LPDDR5X / 1TB PCIe® 4.0 SSD / 14.0-inch / 14.0" 2880x1800 OLED(+Touch) Glare, Narrow Border, W/O BKT, 400nits, eDP1.4, DCIP3100%, 1ms, 100000CR, 120Hz /  / Zumaia Gray / Backlit KB / Win 11 Home / OFFICE HOME 24(IN)+M365 BASIC / Sleeve+mini Adapter</v>
          </cell>
          <cell r="H768">
            <v>97993</v>
          </cell>
          <cell r="I768">
            <v>79308</v>
          </cell>
          <cell r="J768">
            <v>91693</v>
          </cell>
          <cell r="K768">
            <v>74209</v>
          </cell>
          <cell r="L768">
            <v>6300</v>
          </cell>
          <cell r="M768">
            <v>5099</v>
          </cell>
          <cell r="N768" t="str">
            <v>01 - 29 MARCH</v>
          </cell>
          <cell r="O768" t="str">
            <v>(NB20260315)_Mar_Sellout Support_RF _Asus_Select</v>
          </cell>
        </row>
        <row r="769">
          <cell r="C769" t="str">
            <v>RF UX5406SA-PZ555WS</v>
          </cell>
          <cell r="E769" t="str">
            <v>UX5406SA-PZ555WS</v>
          </cell>
          <cell r="F769" t="str">
            <v>90NB14F3-M00UZ0</v>
          </cell>
          <cell r="G769" t="str">
            <v>INTEL CORE ULTRA 5 226V / EVO /  /  / 16GB LPDDR5X / 1TB PCIe® 4.0 SSD / 14.0-inch / 14.0" 2880x1800 OLED(+Touch) Glare, Narrow Border, W/O BKT, 400nits, eDP1.4, DCIP3100%, 1ms, 100000CR, 120Hz /  / Zumaia Gray / Backlit KB / Win 11 Home / OFFICE HOME 24(IN)+M365 BASIC / Sleeve</v>
          </cell>
          <cell r="H769">
            <v>94493</v>
          </cell>
          <cell r="I769">
            <v>76475</v>
          </cell>
          <cell r="J769">
            <v>91693</v>
          </cell>
          <cell r="K769">
            <v>74209</v>
          </cell>
          <cell r="L769">
            <v>2800</v>
          </cell>
          <cell r="M769">
            <v>2266</v>
          </cell>
          <cell r="N769" t="str">
            <v>01 - 29 MARCH</v>
          </cell>
          <cell r="O769" t="str">
            <v>(NB20260315)_Mar_Sellout Support_RF _Asus_Select</v>
          </cell>
        </row>
        <row r="770">
          <cell r="C770" t="str">
            <v>RF UM5606KA-RJ108WS</v>
          </cell>
          <cell r="E770" t="str">
            <v>UM5606KA-RJ108WS</v>
          </cell>
          <cell r="F770" t="str">
            <v>90NB1524-M004S0</v>
          </cell>
          <cell r="G770" t="str">
            <v>AMD Ryzen™ AI 7 350 /  /  /  / 24GB LPDDR5X / 1TB PCIe® 4.0 SSD / 16.0-inch / 16" OLED WQXGA+ BEND GLARE TOUCH(OGM),400NITS(HDR),DCI-P3:100%(120HZ)-NB(RJ) / 120Hz refresh rate / SCANDINAVIAN WHITE /  /  /  / Backlit KB / Win 11 Home / OFFICE HOME 2024 (IN)+M365/ BASIC / Mini Adpater/Sleeve</v>
          </cell>
          <cell r="H770">
            <v>97993</v>
          </cell>
          <cell r="I770">
            <v>79308</v>
          </cell>
          <cell r="J770">
            <v>94493</v>
          </cell>
          <cell r="K770">
            <v>76475</v>
          </cell>
          <cell r="L770">
            <v>3500</v>
          </cell>
          <cell r="M770">
            <v>2833</v>
          </cell>
          <cell r="N770" t="str">
            <v>01 - 29 MARCH</v>
          </cell>
          <cell r="O770" t="str">
            <v>(NB20260315)_Mar_Sellout Support_RF _Asus_Select</v>
          </cell>
        </row>
        <row r="771">
          <cell r="C771" t="str">
            <v>RF UM5606KA-RJ109WS</v>
          </cell>
          <cell r="E771" t="str">
            <v>UM5606KA-RJ109WS</v>
          </cell>
          <cell r="F771" t="str">
            <v>90NB1523-M004T0</v>
          </cell>
          <cell r="G771" t="str">
            <v>AMD Ryzen™ AI 7 350 /  /  /  / 24GB LPDDR5X / 1TB PCIe® 4.0 SSD / 16.0-inch / 16" OLED WQXGA+ BEND GLARE TOUCH(OGM),400NITS(HDR),DCI-P3:100%(120HZ)-NB(RJ) / 120Hz refresh rate / ZUMAIA GRAY /  /  /  / Backlit KB / Win 11 Home / OFFICE HOME 2024 (IN)+M365 BASIC / Mini Adpater/Sleeve</v>
          </cell>
          <cell r="H771">
            <v>97993</v>
          </cell>
          <cell r="I771">
            <v>79308</v>
          </cell>
          <cell r="J771">
            <v>94493</v>
          </cell>
          <cell r="K771">
            <v>76475</v>
          </cell>
          <cell r="L771">
            <v>3500</v>
          </cell>
          <cell r="M771">
            <v>2833</v>
          </cell>
          <cell r="N771" t="str">
            <v>01 - 29 MARCH</v>
          </cell>
          <cell r="O771" t="str">
            <v>(NB20260315)_Mar_Sellout Support_RF _Asus_Select</v>
          </cell>
        </row>
        <row r="772">
          <cell r="C772" t="str">
            <v>RF UX7602ZM-ME921WS</v>
          </cell>
          <cell r="E772" t="str">
            <v>UX7602ZM-ME921WS</v>
          </cell>
          <cell r="F772" t="str">
            <v>90NB0WU1-M001P0</v>
          </cell>
          <cell r="G772" t="str">
            <v>Intel® Core™ i7-12700H  / NVIDIA® GeForce® RTX™ 3060 Laptop GPU / 6GB GDDR6 / Tech Black / 16.0-inch / 4K (3840 x 2400) OLED 16:10 aspect ratio / 16GB LPDDR5 / 1TB M.2 NVMe™ PCIe® 4.0 PeRF ormance SSD / FingerPrint / Backlit Chiclet Keyboard Per-Key RGBW with N-key Rllover / Backpack
Stylus / Windows 11 Home / Office Home and Student 2021 included</v>
          </cell>
          <cell r="H772">
            <v>107994</v>
          </cell>
          <cell r="I772">
            <v>87402</v>
          </cell>
          <cell r="J772">
            <v>97494</v>
          </cell>
          <cell r="K772">
            <v>78904</v>
          </cell>
          <cell r="L772">
            <v>10500</v>
          </cell>
          <cell r="M772">
            <v>8498</v>
          </cell>
          <cell r="N772" t="str">
            <v>01 - 29 MARCH</v>
          </cell>
          <cell r="O772" t="str">
            <v>(NB20260315)_Mar_Sellout Support_RF _Asus_Select</v>
          </cell>
        </row>
        <row r="773">
          <cell r="C773" t="str">
            <v>RF UM5606WA-RJ310WS</v>
          </cell>
          <cell r="E773" t="str">
            <v>UM5606WA-RJ310WS</v>
          </cell>
          <cell r="F773" t="str">
            <v>90NB13M3-M00JZ0</v>
          </cell>
          <cell r="G773" t="str">
            <v>AMD Ryzen  AI9 HX370 Strixpoint 12C / 32GB LPDDR5X  / 1TB PCIe® 4.0 SSD / 16.0-inch / 2.8K OLED, 500nits HDR peak brightness / 120Hz refresh rate / GREY / Backlit KB / Win 11 Home / MS Office / Mini Adpater</v>
          </cell>
          <cell r="H773">
            <v>104993</v>
          </cell>
          <cell r="I773">
            <v>84973</v>
          </cell>
          <cell r="J773">
            <v>97993</v>
          </cell>
          <cell r="K773">
            <v>79308</v>
          </cell>
          <cell r="L773">
            <v>7000</v>
          </cell>
          <cell r="M773">
            <v>5665</v>
          </cell>
          <cell r="N773" t="str">
            <v>01 - 29 MARCH</v>
          </cell>
          <cell r="O773" t="str">
            <v>(NB20260315)_Mar_Sellout Support_RF _Asus_Select</v>
          </cell>
        </row>
        <row r="774">
          <cell r="C774" t="str">
            <v>RF UM5606WA-RJ3310WS</v>
          </cell>
          <cell r="E774" t="str">
            <v>UM5606WA-RJ3310WS</v>
          </cell>
          <cell r="F774" t="str">
            <v>90NB13M3-M00MF0</v>
          </cell>
          <cell r="G774" t="str">
            <v>AMD Ryzen AI9 HX370 Strixpoint 12C / 32GB LPDDR5X  / 1TB PCIe® 4.0 SSD / 16.0-inch / 16" OLED WQXGA+ BEND GLARE TOUCH(OGM),400NITS(HDR),DCI-P3:100%(120HZ)-NB(RJ) / 120Hz refresh rate / ZUMAIA GREY / Backlit KB / Win 11 Home / Office Home 2024 &amp; M365 Basic 1 Year / Mini Adpater</v>
          </cell>
          <cell r="H774">
            <v>104993</v>
          </cell>
          <cell r="I774">
            <v>84973</v>
          </cell>
          <cell r="J774">
            <v>97993</v>
          </cell>
          <cell r="K774">
            <v>79308</v>
          </cell>
          <cell r="L774">
            <v>7000</v>
          </cell>
          <cell r="M774">
            <v>5665</v>
          </cell>
          <cell r="N774" t="str">
            <v>01 - 29 MARCH</v>
          </cell>
          <cell r="O774" t="str">
            <v>(NB20260315)_Mar_Sellout Support_RF _Asus_Select</v>
          </cell>
        </row>
        <row r="775">
          <cell r="C775" t="str">
            <v>RF UX3405MA-PZ961WS</v>
          </cell>
          <cell r="E775" t="str">
            <v>UX3405MA-PZ961WS</v>
          </cell>
          <cell r="F775" t="str">
            <v>90NB11R4-M00XP0</v>
          </cell>
          <cell r="G775" t="str">
            <v>INTEL CORE ULTRA 9-185H / EVO /  /  / 32GB LPDDR5X / 1TB PCIe® 4.0 SSD / 14.0-inch / 2.8K (2880 x 1800) 16:10 OLED Touch / 120Hz refresh rate / Foggy Silver / NumberPad /  /  / Backlit KB / Win 11 Home / MS Office / Sleeve</v>
          </cell>
          <cell r="H775">
            <v>101493</v>
          </cell>
          <cell r="I775">
            <v>82141</v>
          </cell>
          <cell r="J775">
            <v>97993</v>
          </cell>
          <cell r="K775">
            <v>79308</v>
          </cell>
          <cell r="L775">
            <v>3500</v>
          </cell>
          <cell r="M775">
            <v>2833</v>
          </cell>
          <cell r="N775" t="str">
            <v>01 - 29 MARCH</v>
          </cell>
          <cell r="O775" t="str">
            <v>(NB20260315)_Mar_Sellout Support_RF _Asus_Select</v>
          </cell>
        </row>
        <row r="776">
          <cell r="C776" t="str">
            <v>RF UX3405MA-PZ962WS</v>
          </cell>
          <cell r="E776" t="str">
            <v>UX3405MA-PZ962WS</v>
          </cell>
          <cell r="F776" t="str">
            <v>90NB11R3-M00XN0</v>
          </cell>
          <cell r="G776" t="str">
            <v>INTEL CORE ULTRA 9-185H / EVO /  /  / 32GB LPDDR5X / 1TB PCIe® 4.0 SSD / 14.0-inch / 2.8K (2880 x 1800) 16:10 OLED Touch / 120Hz refresh rate / Ponder Blue / NumberPad /  /  / Backlit KB / Win 11 Home / MS Office / Sleeve</v>
          </cell>
          <cell r="H776">
            <v>101493</v>
          </cell>
          <cell r="I776">
            <v>82141</v>
          </cell>
          <cell r="J776">
            <v>97993</v>
          </cell>
          <cell r="K776">
            <v>79308</v>
          </cell>
          <cell r="L776">
            <v>3500</v>
          </cell>
          <cell r="M776">
            <v>2833</v>
          </cell>
          <cell r="N776" t="str">
            <v>01 - 29 MARCH</v>
          </cell>
          <cell r="O776" t="str">
            <v>(NB20260315)_Mar_Sellout Support_RF _Asus_Select</v>
          </cell>
        </row>
        <row r="777">
          <cell r="C777" t="str">
            <v>RF UX8406MA-QL761WS</v>
          </cell>
          <cell r="E777" t="str">
            <v>UX8406MA-QL761WS</v>
          </cell>
          <cell r="F777" t="str">
            <v>90NB12U1-M00LM0</v>
          </cell>
          <cell r="G777" t="str">
            <v>INTEL CORE ULTRA 7-155H / EVO /  /  / 32GB LPDRR5X / 1TB PCIe® 4.0 SSD / 14.0-inch / WUXGA OLED /  / Inkwell Grey / Soft keyboard dock / Win 11 Home / MS Office / Stylus/Mini Adpater</v>
          </cell>
          <cell r="H777">
            <v>104993</v>
          </cell>
          <cell r="I777">
            <v>84973</v>
          </cell>
          <cell r="J777">
            <v>97993</v>
          </cell>
          <cell r="K777">
            <v>79308</v>
          </cell>
          <cell r="L777">
            <v>7000</v>
          </cell>
          <cell r="M777">
            <v>5665</v>
          </cell>
          <cell r="N777" t="str">
            <v>01 - 29 MARCH</v>
          </cell>
          <cell r="O777" t="str">
            <v>(NB20260315)_Mar_Sellout Support_RF _Asus_Select</v>
          </cell>
        </row>
        <row r="778">
          <cell r="C778" t="str">
            <v>RF FX608JHR-RV135WS</v>
          </cell>
          <cell r="E778" t="str">
            <v>FX608JHR-RV135WS</v>
          </cell>
          <cell r="F778" t="str">
            <v>90NR0NA1-M00790</v>
          </cell>
          <cell r="G778" t="str">
            <v>INTEL I7-14650HX/BGA/RTX5050 8GB/16GB/1TB SSD/16.0 WUXGA ANTI-GLARE NON-TOUCH,300NITS/B,SRGB 100%(165HZ),IPS-NB(RV)/RGB ILLUMINATED CHICLET/90Whr/OFFICE HOME 2024 (IN)+M365 BASIC/0/Gray</v>
          </cell>
          <cell r="H778">
            <v>104993</v>
          </cell>
          <cell r="I778">
            <v>84973</v>
          </cell>
          <cell r="J778">
            <v>101493</v>
          </cell>
          <cell r="K778">
            <v>82141</v>
          </cell>
          <cell r="L778">
            <v>3500</v>
          </cell>
          <cell r="M778">
            <v>2832</v>
          </cell>
          <cell r="N778" t="str">
            <v>01 - 15 MARCH</v>
          </cell>
          <cell r="O778" t="str">
            <v>(NR260304) Asus your vibe your color your Deal _Sellout Support_RF _Select Store</v>
          </cell>
        </row>
        <row r="779">
          <cell r="C779" t="str">
            <v>RF G614JV-N3474WS</v>
          </cell>
          <cell r="E779" t="str">
            <v>G614JV-N3474WS</v>
          </cell>
          <cell r="F779" t="str">
            <v>90NR0C61-M012E0</v>
          </cell>
          <cell r="G779" t="str">
            <v>i7-13650HX/ RTX4060- 8GB/ 16GB DDR5 (2 x 8GB slot)/ 1T SSD (Gen4)/ 16.0 WUXGA ANTI-GLARE NON-TOUCH,250NITS/B,SRGB 100%(165HZ),IPS-NB(N3)/ Backlit KB- 4 zone RGB/ 90Whr/ WIN 11/ Office H&amp;S 2021/ / McAfee(1 year)/ 1C-GRAY</v>
          </cell>
          <cell r="H779">
            <v>125991</v>
          </cell>
          <cell r="I779">
            <v>101967</v>
          </cell>
          <cell r="J779">
            <v>103992</v>
          </cell>
          <cell r="K779">
            <v>84163</v>
          </cell>
          <cell r="L779">
            <v>21999</v>
          </cell>
          <cell r="M779">
            <v>17804</v>
          </cell>
          <cell r="N779" t="str">
            <v>01 - 31 MARCH</v>
          </cell>
          <cell r="O779" t="str">
            <v>(NR260322) Asus Mar Top Picks_Sellout Support_RF _Select Store</v>
          </cell>
        </row>
        <row r="780">
          <cell r="C780" t="str">
            <v>RF UX5406SA-PZ357WS</v>
          </cell>
          <cell r="E780" t="str">
            <v>UX5406SA-PZ357WS</v>
          </cell>
          <cell r="F780" t="str">
            <v>90NB14F3-M00JC0</v>
          </cell>
          <cell r="G780" t="str">
            <v>Intel® Core™ Ultra 7 - 258V / EVO /  /  / 32GB LPDDR5X / 1TB PCIe® 4.0 SSD / 14-inch / 14.0" 2880x1800 OLED(+Touch) Glare, Narrow Border, W/O BKT, 400nits, eDP1.4, DCIP3100%, 1ms, 100000CR, 120Hz /  / Zumaia Gray / Backlit KB / Win 11 Home / MS Office / Sleeve+mount adapter</v>
          </cell>
          <cell r="H780">
            <v>104993</v>
          </cell>
          <cell r="I780">
            <v>84973</v>
          </cell>
          <cell r="J780">
            <v>104293</v>
          </cell>
          <cell r="K780">
            <v>84407</v>
          </cell>
          <cell r="L780">
            <v>700</v>
          </cell>
          <cell r="M780">
            <v>566</v>
          </cell>
          <cell r="N780" t="str">
            <v>01 - 29 MARCH</v>
          </cell>
          <cell r="O780" t="str">
            <v>(NB20260315)_Mar_Sellout Support_RF _Asus_Select</v>
          </cell>
        </row>
        <row r="781">
          <cell r="C781" t="str">
            <v>RF UX5406SA-PZ358WS</v>
          </cell>
          <cell r="E781" t="str">
            <v>UX5406SA-PZ358WS</v>
          </cell>
          <cell r="F781" t="str">
            <v>90NB14F4-M00JD0</v>
          </cell>
          <cell r="G781" t="str">
            <v>Intel® Core™ Ultra 7 - 258V / EVO /  /  / 32GB LPDDR5X / 1TB PCIe® 4.0 SSD / 14-inch / 14.0" 2880x1800 OLED(+Touch) Glare, Narrow Border, W/O BKT, 400nits, eDP1.4, DCIP3100%, 1ms, 100000CR, 120Hz /  / SCANDINAVIAN WHITE / Backlit KB / Win 11 Home / MS Office / Sleeve+mount adapter</v>
          </cell>
          <cell r="H781">
            <v>104993</v>
          </cell>
          <cell r="I781">
            <v>84973</v>
          </cell>
          <cell r="J781">
            <v>104293</v>
          </cell>
          <cell r="K781">
            <v>84407</v>
          </cell>
          <cell r="L781">
            <v>700</v>
          </cell>
          <cell r="M781">
            <v>566</v>
          </cell>
          <cell r="N781" t="str">
            <v>01 - 29 MARCH</v>
          </cell>
          <cell r="O781" t="str">
            <v>(NB20260315)_Mar_Sellout Support_RF _Asus_Select</v>
          </cell>
        </row>
        <row r="782">
          <cell r="C782" t="str">
            <v>RF UX5406SA-PZ7761WS</v>
          </cell>
          <cell r="E782" t="str">
            <v>UX5406SA-PZ7761WS</v>
          </cell>
          <cell r="F782" t="str">
            <v>90NB14F3-M00N30</v>
          </cell>
          <cell r="G782" t="str">
            <v>Intel® Core™ Ultra 7 258V / EVO /  /  / 32GB LPDDR5X / 1TB PCIe® 4.0 SSD / 14.0-inch / 14.0" 2880x1800 OLED(+Touch) Glare, Narrow Border, W/O BKT, 400nits, eDP1.4, DCIP3100%, 1ms, 100000CR, 120Hz /  / Zumaia Gray / Backlit KB / Win 11 Home / Office Home 2024 &amp; M365 Basic 1 Year / Sleeve+mini Adapter</v>
          </cell>
          <cell r="H782">
            <v>104993</v>
          </cell>
          <cell r="I782">
            <v>84973</v>
          </cell>
          <cell r="J782">
            <v>104293</v>
          </cell>
          <cell r="K782">
            <v>84407</v>
          </cell>
          <cell r="L782">
            <v>700</v>
          </cell>
          <cell r="M782">
            <v>566</v>
          </cell>
          <cell r="N782" t="str">
            <v>01 - 29 MARCH</v>
          </cell>
          <cell r="O782" t="str">
            <v>(NB20260315)_Mar_Sellout Support_RF _Asus_Select</v>
          </cell>
        </row>
        <row r="783">
          <cell r="C783" t="str">
            <v>RF UX5406SA-PZ7762WS</v>
          </cell>
          <cell r="E783" t="str">
            <v>UX5406SA-PZ7762WS</v>
          </cell>
          <cell r="F783" t="str">
            <v>90NB14F4-M00N40</v>
          </cell>
          <cell r="G783" t="str">
            <v>Intel® Core™ Ultra 7 258V / EVO /  /  / 32GB LPDDR5X / 1TB PCIe® 4.0 SSD / 14.0-inch / 14.0" 2880x1800 OLED(+Touch) Glare, Narrow Border, W/O BKT, 400nits, eDP1.4, DCIP3100%, 1ms, 100000CR, 120Hz /  / SCANDINAVIAN WHITE / Backlit KB / Win 11 Home / Office Home 2024 &amp; M365 Basic 1 Year / Sleeve+mini Adapter</v>
          </cell>
          <cell r="H783">
            <v>104993</v>
          </cell>
          <cell r="I783">
            <v>84973</v>
          </cell>
          <cell r="J783">
            <v>104293</v>
          </cell>
          <cell r="K783">
            <v>84407</v>
          </cell>
          <cell r="L783">
            <v>700</v>
          </cell>
          <cell r="M783">
            <v>566</v>
          </cell>
          <cell r="N783" t="str">
            <v>01 - 29 MARCH</v>
          </cell>
          <cell r="O783" t="str">
            <v>(NB20260315)_Mar_Sellout Support_RF _Asus_Select</v>
          </cell>
        </row>
        <row r="784">
          <cell r="C784" t="str">
            <v>RF UX5406SA-PZ777WS</v>
          </cell>
          <cell r="E784" t="str">
            <v>UX5406SA-PZ777WS</v>
          </cell>
          <cell r="F784" t="str">
            <v>90NB14F3-M00NB0</v>
          </cell>
          <cell r="G784" t="str">
            <v>INTEL CORE ULTRA 7 258V / EVO /  /  / 32GB LPDDR5X / 1TB PCIe® 4.0 SSD / 14.0-inch / 14.0" 2880x1800 OLED(+Touch) Glare, Narrow Border, W/O BKT, 400nits, eDP1.4, DCIP3100%, 1ms, 100000CR, 120Hz /  / Zumaia Gray / Backlit KB / Win 11 Home / OFFICE HOME 24(IN)+M365 BASIC / Sleeve</v>
          </cell>
          <cell r="H784">
            <v>111993</v>
          </cell>
          <cell r="I784">
            <v>90638</v>
          </cell>
          <cell r="J784">
            <v>104293</v>
          </cell>
          <cell r="K784">
            <v>84407</v>
          </cell>
          <cell r="L784">
            <v>7700</v>
          </cell>
          <cell r="M784">
            <v>6231</v>
          </cell>
          <cell r="N784" t="str">
            <v>01 - 29 MARCH</v>
          </cell>
          <cell r="O784" t="str">
            <v>(NB20260315)_Mar_Sellout Support_RF _Asus_Select</v>
          </cell>
        </row>
        <row r="785">
          <cell r="C785" t="str">
            <v>RF FA401WV-RG475WS</v>
          </cell>
          <cell r="E785" t="str">
            <v>FA401WV-RG475WS</v>
          </cell>
          <cell r="F785" t="str">
            <v>90NR0J41-M005P0</v>
          </cell>
          <cell r="G785" t="str">
            <v>AMD AI 9 HX 370 / RTX4060- / / / / / / / OFFICE HOME 2024 &amp; M365 BASIC 1 Year/ / / 1A-JAEGER GRAY</v>
          </cell>
          <cell r="H785">
            <v>108493</v>
          </cell>
          <cell r="I785">
            <v>87806</v>
          </cell>
          <cell r="J785">
            <v>104993</v>
          </cell>
          <cell r="K785">
            <v>84973</v>
          </cell>
          <cell r="L785">
            <v>3500</v>
          </cell>
          <cell r="M785">
            <v>2833</v>
          </cell>
          <cell r="N785" t="str">
            <v>01 - 31 MARCH</v>
          </cell>
          <cell r="O785" t="str">
            <v>(NR260322) Asus Mar Top Picks_Sellout Support_RF _Select Store</v>
          </cell>
        </row>
        <row r="786">
          <cell r="C786" t="str">
            <v>RF G614JV-N4141WS</v>
          </cell>
          <cell r="E786" t="str">
            <v>G614JV-N4141WS</v>
          </cell>
          <cell r="F786" t="str">
            <v>90NR0C61-M007Y0</v>
          </cell>
          <cell r="G786" t="str">
            <v>i9-13980HX/ RTX4060- 8GB/ 16GB DDR5 (2 x 8GB slot)/ 1T SSD (Gen4)/ {Nebula] 16.0 WQXGA-240HZ, 500NITS/B,DCI-P3:100%/ Backlit KB- 4 zone RGB/ 90Whr/ WIN 11/ Office H&amp;S 2021/ / McAfee(1 year)/ 1C-GRAY</v>
          </cell>
          <cell r="H786">
            <v>111993</v>
          </cell>
          <cell r="I786">
            <v>90638</v>
          </cell>
          <cell r="J786">
            <v>104993</v>
          </cell>
          <cell r="K786">
            <v>84973</v>
          </cell>
          <cell r="L786">
            <v>7000</v>
          </cell>
          <cell r="M786">
            <v>5665</v>
          </cell>
          <cell r="N786" t="str">
            <v>01 - 31 MARCH</v>
          </cell>
          <cell r="O786" t="str">
            <v>(NR260322) Asus Mar Top Picks_Sellout Support_RF _Select Store</v>
          </cell>
        </row>
        <row r="787">
          <cell r="C787" t="str">
            <v>RF G614JV-N4242WS</v>
          </cell>
          <cell r="E787" t="str">
            <v>G614JV-N4242WS</v>
          </cell>
          <cell r="F787" t="str">
            <v>90NR0C61-M015D0</v>
          </cell>
          <cell r="G787" t="str">
            <v>i9-13980HX/ RTX4060- 8GB/ 16GB DDR5 (2 x 8GB slot)/ 1T SSD (Gen4)/ {Nebula] 16.0 WQXGA-240HZ, 500NITS/B,DCI-P3:100%/ Backlit KB- 4 zone RGB/ 90Whr/ WIN 11/ OFFICE HOME 2024 &amp; M365 BASIC 1 Year/ / McAfee(1 year)/ 1C-GRAY</v>
          </cell>
          <cell r="H787">
            <v>111993</v>
          </cell>
          <cell r="I787">
            <v>90638</v>
          </cell>
          <cell r="J787">
            <v>104993</v>
          </cell>
          <cell r="K787">
            <v>84973</v>
          </cell>
          <cell r="L787">
            <v>7000</v>
          </cell>
          <cell r="M787">
            <v>5665</v>
          </cell>
          <cell r="N787" t="str">
            <v>01 - 31 MARCH</v>
          </cell>
          <cell r="O787" t="str">
            <v>(NR260322) Asus Mar Top Picks_Sellout Support_RF _Select Store</v>
          </cell>
        </row>
        <row r="788">
          <cell r="C788" t="str">
            <v>RF GA403UV-QS085WS</v>
          </cell>
          <cell r="E788" t="str">
            <v>GA403UV-QS085WS</v>
          </cell>
          <cell r="F788" t="str">
            <v>90NR0I01-M004P0</v>
          </cell>
          <cell r="G788" t="str">
            <v>R9-8945HS/ RTX4060- 8GB GDDR6/ 8GB*2 LPDDR5 on board/ 1TB PCIe® 4.0 NVMe™ M.2 SSD/ [ROG Nebula Display]  14" OLED 120Hz/ Backlit Chiclet Keyboard 1-Zone RGB/ 73WHr/ WIN 11/ Office H&amp;S 2021/ 0/ McAfee(1 year)/ Eclipse Gray</v>
          </cell>
          <cell r="H788">
            <v>111293</v>
          </cell>
          <cell r="I788">
            <v>90072</v>
          </cell>
          <cell r="J788">
            <v>104993</v>
          </cell>
          <cell r="K788">
            <v>84973</v>
          </cell>
          <cell r="L788">
            <v>6300</v>
          </cell>
          <cell r="M788">
            <v>5099</v>
          </cell>
          <cell r="N788" t="str">
            <v>01 - 31 MARCH</v>
          </cell>
          <cell r="O788" t="str">
            <v>(NR260322) Asus Mar Top Picks_Sellout Support_RF _Select Store</v>
          </cell>
        </row>
        <row r="789">
          <cell r="C789" t="str">
            <v>RF GA403UV-QS086WS</v>
          </cell>
          <cell r="E789" t="str">
            <v>GA403UV-QS086WS</v>
          </cell>
          <cell r="F789" t="str">
            <v>90NR0I01-M00A10</v>
          </cell>
          <cell r="G789" t="str">
            <v>R9-8945HS/ RTX4060- 8GB GDDR6/ 16G DDR5/ 1TB PCIe/ 14" 3K OLED 120Hz Nebula Display/ Backlit Chiclet Keyboard 1-Zone RGB/ 73WHrs/ Win 11/ MSO 2021/ 1080P FHD IR Camera/ McAfee® 1 year/ Eclipse Gray</v>
          </cell>
          <cell r="H789">
            <v>111993</v>
          </cell>
          <cell r="I789">
            <v>90638</v>
          </cell>
          <cell r="J789">
            <v>104993</v>
          </cell>
          <cell r="K789">
            <v>84973</v>
          </cell>
          <cell r="L789">
            <v>7000</v>
          </cell>
          <cell r="M789">
            <v>5665</v>
          </cell>
          <cell r="N789" t="str">
            <v>01 - 31 MARCH</v>
          </cell>
          <cell r="O789" t="str">
            <v>(NR260322) Asus Mar Top Picks_Sellout Support_RF _Select Store</v>
          </cell>
        </row>
        <row r="790">
          <cell r="C790" t="str">
            <v>RF FA608PP-QT014WS</v>
          </cell>
          <cell r="E790" t="str">
            <v>FA608PP-QT014WS</v>
          </cell>
          <cell r="F790" t="str">
            <v>90NR0MD1-M000M0</v>
          </cell>
          <cell r="G790" t="str">
            <v>R9-8940HX/ RTX5070- 8GB/ 16G/ 1T/ 16.0 WQXGA ANTI-GLARE NON-TOUCH,400NITS/B,SRGB 100%(165HZ),IPS-NB(QT)/ Backlit  Keyboard - With Copilot key/ 90Whr/ WIN 11/ OFFICE HOME 2024 (IN)+M365 BASIC/ 0/ McAfee(1 year)/ Grey</v>
          </cell>
          <cell r="H790">
            <v>132993</v>
          </cell>
          <cell r="I790">
            <v>107634</v>
          </cell>
          <cell r="J790">
            <v>104993</v>
          </cell>
          <cell r="K790">
            <v>84973</v>
          </cell>
          <cell r="L790">
            <v>28000</v>
          </cell>
          <cell r="M790">
            <v>22661</v>
          </cell>
          <cell r="N790" t="str">
            <v>01 - 15 MARCH</v>
          </cell>
          <cell r="O790" t="str">
            <v>(NR260304) Asus your vibe your color your Deal _Sellout Support_RF _Select Store</v>
          </cell>
        </row>
        <row r="791">
          <cell r="C791" t="str">
            <v>RF UX8406MA-QL961WS</v>
          </cell>
          <cell r="E791" t="str">
            <v>UX8406MA-QL961WS</v>
          </cell>
          <cell r="F791" t="str">
            <v>90NB12U1-M00HK0</v>
          </cell>
          <cell r="G791" t="str">
            <v>INTEL CORE ULTRA 9-185H / EVO /  /  / 32GB LPDRR5X / 1TB PCIe® 4.0 SSD / 14.0-inch / WUXGA OLED /  / Inkwell Grey / Soft keyboard dock / Win 11 Home / MS Office / Stylus/Mini Adpater</v>
          </cell>
          <cell r="H791">
            <v>111993</v>
          </cell>
          <cell r="I791">
            <v>90638</v>
          </cell>
          <cell r="J791">
            <v>104993</v>
          </cell>
          <cell r="K791">
            <v>84973</v>
          </cell>
          <cell r="L791">
            <v>7000</v>
          </cell>
          <cell r="M791">
            <v>5665</v>
          </cell>
          <cell r="N791" t="str">
            <v>01 - 29 MARCH</v>
          </cell>
          <cell r="O791" t="str">
            <v>(NB20260315)_Mar_Sellout Support_RF _Asus_Select</v>
          </cell>
        </row>
        <row r="792">
          <cell r="C792" t="str">
            <v>RF G614PH-RV033WS</v>
          </cell>
          <cell r="E792" t="str">
            <v>G614PH-RV033WS</v>
          </cell>
          <cell r="F792" t="str">
            <v>90NR0KX7-M001F0</v>
          </cell>
          <cell r="G792" t="str">
            <v>R9-8940HX/ RTX5050- 8GB/ 16G/ 1T/ 16.0 WUXGA ANTI-GLARE NON-TOUCH,300NITS/B,SRGB 100%(165HZ),IPS-NB(RV)/ Backlit Chiclet Keyboard Per-Key RGB
With Copilot key_x000D_
*Copilot in Windows (in preview) is rolling out gradually within the latest update to Windows 11 in select global markets. Timing of availability varies by device and market. Learn more: https://www.microsoft.com/en-us/windows/copilot-ai-features?r=1#faq/ 90WHrs, 4S1P, 4-cell Li-ion/ Windows 11 Home/ OFFICE HOME 2024 (IN)+M365 BASIC/ / McAfee® 1 year/ Grey</v>
          </cell>
          <cell r="H792">
            <v>111993</v>
          </cell>
          <cell r="I792">
            <v>90638</v>
          </cell>
          <cell r="J792">
            <v>108493</v>
          </cell>
          <cell r="K792">
            <v>87806</v>
          </cell>
          <cell r="L792">
            <v>3500</v>
          </cell>
          <cell r="M792">
            <v>2832</v>
          </cell>
          <cell r="N792" t="str">
            <v>01 - 15 MARCH</v>
          </cell>
          <cell r="O792" t="str">
            <v>(NR260304) Asus your vibe your color your Deal _Sellout Support_RF _Select Store</v>
          </cell>
        </row>
        <row r="793">
          <cell r="C793" t="str">
            <v>RF G614PH-RV073WS</v>
          </cell>
          <cell r="E793" t="str">
            <v>G614PH-RV073WS</v>
          </cell>
          <cell r="F793" t="str">
            <v>90NR0KX7-M00330</v>
          </cell>
          <cell r="G793" t="str">
            <v>R9-8940HX up to 16 tops/RTX5050 8GB/16GB/1TB SSD/16.0 WUXGA ANTI-GLARE NON-TOUCH,300NITS/B,SRGB 100%(165HZ),IPS-NB(RV)/Backlit Chiclet Keyboard Per-Key RGB 90Whr/OFFICE HOME 2024 (IN)+M365 BASIC//Gray</v>
          </cell>
          <cell r="H793">
            <v>111993</v>
          </cell>
          <cell r="I793">
            <v>90638</v>
          </cell>
          <cell r="J793">
            <v>108493</v>
          </cell>
          <cell r="K793">
            <v>87806</v>
          </cell>
          <cell r="L793">
            <v>3500</v>
          </cell>
          <cell r="M793">
            <v>2832</v>
          </cell>
          <cell r="N793" t="str">
            <v>01 - 15 MARCH</v>
          </cell>
          <cell r="O793" t="str">
            <v>(NR260304) Asus your vibe your color your Deal _Sellout Support_RF _Select Store</v>
          </cell>
        </row>
        <row r="794">
          <cell r="C794" t="str">
            <v>RF FX608JMR-RV049WS</v>
          </cell>
          <cell r="E794" t="str">
            <v>FX608JMR-RV049WS</v>
          </cell>
          <cell r="F794" t="str">
            <v>90NR0NB1-M00360</v>
          </cell>
          <cell r="G794" t="str">
            <v>i7-14650HX/ RTX5060- 8GB/ 16G/ 1T/ 15.6" FHD 165Hz/ RGB ILLUMINATED CHICLET/ 90WHr/ WIN 11/ OFFICE HOME 2024 (IN)+M365 BASIC/ 0/ McAfee(1 year)/ Grey</v>
          </cell>
          <cell r="H794">
            <v>111993</v>
          </cell>
          <cell r="I794">
            <v>90638</v>
          </cell>
          <cell r="J794">
            <v>108493</v>
          </cell>
          <cell r="K794">
            <v>87806</v>
          </cell>
          <cell r="L794">
            <v>3500</v>
          </cell>
          <cell r="M794">
            <v>2832</v>
          </cell>
          <cell r="N794" t="str">
            <v>01 - 15 MARCH</v>
          </cell>
          <cell r="O794" t="str">
            <v>(NR260304) Asus your vibe your color your Deal _Sellout Support_RF _Select Store</v>
          </cell>
        </row>
        <row r="795">
          <cell r="C795" t="str">
            <v>RF UX582ZM-H701WS</v>
          </cell>
          <cell r="E795" t="str">
            <v>UX582ZM-H701WS</v>
          </cell>
          <cell r="F795" t="str">
            <v>90NB0VR1-M00180</v>
          </cell>
          <cell r="G795" t="str">
            <v>i7-12700H/RTX3060_6G/32G/1T PCIe SSD X4/CELESTIAL BLUE/15.6" UHD OLED TOUCH/1Y international warranty + McAfee/Win 11 + Office H&amp;S/SCREENPAD/Soft Stand/Stylus/Palm Rest/</v>
          </cell>
          <cell r="H795">
            <v>119994</v>
          </cell>
          <cell r="I795">
            <v>97114</v>
          </cell>
          <cell r="J795">
            <v>110194</v>
          </cell>
          <cell r="K795">
            <v>89182</v>
          </cell>
          <cell r="L795">
            <v>9800</v>
          </cell>
          <cell r="M795">
            <v>7932</v>
          </cell>
          <cell r="N795" t="str">
            <v>01 - 29 MARCH</v>
          </cell>
          <cell r="O795" t="str">
            <v>(NB20260315)_Mar_Sellout Support_RF _Asus_Select</v>
          </cell>
        </row>
        <row r="796">
          <cell r="C796" t="str">
            <v>RF HN7306WU-LX001WS</v>
          </cell>
          <cell r="E796" t="str">
            <v>HN7306WU-LX001WS</v>
          </cell>
          <cell r="F796" t="str">
            <v>90NB14M1-M001K0</v>
          </cell>
          <cell r="G796" t="str">
            <v>AMD RYZEN AI 9 365/ RTX4050- 6GB/ 24GB [24GB DDR5 X 1]/ 1TB PCIe® 4.0 NVMe™ M.2 SSD/ 13.3" Touch 3K OLED 60Hz Display/ Backlit with CoPilot Key/ 73Whr/ WIN 11/ Office H&amp;S 2021McAfee(1 year)/ NANO BLACK</v>
          </cell>
          <cell r="H796">
            <v>118993</v>
          </cell>
          <cell r="I796">
            <v>96304</v>
          </cell>
          <cell r="J796">
            <v>111993</v>
          </cell>
          <cell r="K796">
            <v>90638</v>
          </cell>
          <cell r="L796">
            <v>7000</v>
          </cell>
          <cell r="M796">
            <v>5666</v>
          </cell>
          <cell r="N796" t="str">
            <v>01 - 31 MARCH</v>
          </cell>
          <cell r="O796" t="str">
            <v>(NB20260365)_Mar_Top Picks_Sellout Support_RF _Select Store_Creator</v>
          </cell>
        </row>
        <row r="797">
          <cell r="C797" t="str">
            <v>RF UX8406MA-QL971WS</v>
          </cell>
          <cell r="E797" t="str">
            <v>UX8406MA-QL971WS</v>
          </cell>
          <cell r="F797" t="str">
            <v>90NB12U1-M00HH0</v>
          </cell>
          <cell r="G797" t="str">
            <v xml:space="preserve">INTEL CORE ULTRA 9-185H / EVO /  /  / 32GB LPDRR5X / 2TB PCIe® 4.0 SSD / 14.0-inch / WUXGA OLED /  / Inkwell Grey / Soft keyboard dock / Win 11 Home / MS Office / </v>
          </cell>
          <cell r="H797">
            <v>118993</v>
          </cell>
          <cell r="I797">
            <v>96304</v>
          </cell>
          <cell r="J797">
            <v>111993</v>
          </cell>
          <cell r="K797">
            <v>90638</v>
          </cell>
          <cell r="L797">
            <v>7000</v>
          </cell>
          <cell r="M797">
            <v>5666</v>
          </cell>
          <cell r="N797" t="str">
            <v>01 - 29 MARCH</v>
          </cell>
          <cell r="O797" t="str">
            <v>(NB20260315)_Mar_Sellout Support_RF _Asus_Select</v>
          </cell>
        </row>
        <row r="798">
          <cell r="C798" t="str">
            <v>RF FA401WV-RG037WS</v>
          </cell>
          <cell r="E798" t="str">
            <v>FA401WV-RG037WS</v>
          </cell>
          <cell r="F798" t="str">
            <v>90NR0J41-M00270</v>
          </cell>
          <cell r="G798" t="str">
            <v>AMD AI 9 HX 370 / RTX4060- 8GB GDDR6/ 32G DDR5/ 2TB PCIe/ 14" 2.K QHD 165Hz/ Backlit Chiclet Keyboard Single Light with Copilot Key/ 73WHrs/ Win 11/ MSO 2021/ 1080P FHD IR Camera/ McAfee® 1 year/ 1A-JAEGER GRAY</v>
          </cell>
          <cell r="H798">
            <v>118992.99999999999</v>
          </cell>
          <cell r="I798">
            <v>96304</v>
          </cell>
          <cell r="J798">
            <v>115492.99999999999</v>
          </cell>
          <cell r="K798">
            <v>93471</v>
          </cell>
          <cell r="L798">
            <v>3500</v>
          </cell>
          <cell r="M798">
            <v>2833</v>
          </cell>
          <cell r="N798" t="str">
            <v>01 - 31 MARCH</v>
          </cell>
          <cell r="O798" t="str">
            <v>(NR260322) Asus Mar Top Picks_Sellout Support_RF _Select Store</v>
          </cell>
        </row>
        <row r="799">
          <cell r="C799" t="str">
            <v>RF HN7306WU-LX402WS</v>
          </cell>
          <cell r="E799" t="str">
            <v>HN7306WU-LX402WS</v>
          </cell>
          <cell r="F799" t="str">
            <v>90NB14M1-M002Y0</v>
          </cell>
          <cell r="G799" t="str">
            <v>AMD RYZEN AI 9 HX 370/RTX4050 6GB/LPDDR5X 24GB/1TB M.2 NVMe™ PCIe® 4.0 SSD/13.3-inch/3K (2880 x 1800) OLED 16:10 aspect ratio/60Hz refresh rate/Backlit Chiclet Keyboard With Copilot key, 73WHrs, 4S1P, 4-cell Li ion/OFFICE HOME 2024 (IN)+M365 BASIC/Backpack Stylus (ASUS Pen SA203H-MPP2.0 support)/Nano Black</v>
          </cell>
          <cell r="H799">
            <v>122493</v>
          </cell>
          <cell r="I799">
            <v>99136</v>
          </cell>
          <cell r="J799">
            <v>115493</v>
          </cell>
          <cell r="K799">
            <v>93471</v>
          </cell>
          <cell r="L799">
            <v>7000</v>
          </cell>
          <cell r="M799">
            <v>5665</v>
          </cell>
          <cell r="N799" t="str">
            <v>01 - 31 MARCH</v>
          </cell>
          <cell r="O799" t="str">
            <v>(NB20260365)_Mar_Top Picks_Sellout Support_RF _Select Store_Creator</v>
          </cell>
        </row>
        <row r="800">
          <cell r="C800" t="str">
            <v>RF GU605MV-CO4711WS</v>
          </cell>
          <cell r="E800" t="str">
            <v>GU605MV-CO4711WS</v>
          </cell>
          <cell r="F800" t="str">
            <v>90NR0IT1-M00EJ0</v>
          </cell>
          <cell r="G800" t="str">
            <v>Core Ultra 7 155H/ RTX4060- 8GB/ 16GB DDR5 / 1TB PCIe® 4.0 NVMe™ M.2 SSD/ 16.0" 2.5K OLED ROG Nebula Display ,500NITS(240HZ)/ Backlit KB- 1 zone RGB/ 90Whr/ WIN 11/ OFFICE HOME 2024 &amp; M365 BASIC 1 Year/ / McAfee(1 year)/ Eclipse Gray</v>
          </cell>
          <cell r="H800">
            <v>129492.99999999999</v>
          </cell>
          <cell r="I800">
            <v>104802</v>
          </cell>
          <cell r="J800">
            <v>122492.99999999999</v>
          </cell>
          <cell r="K800">
            <v>99136</v>
          </cell>
          <cell r="L800">
            <v>7000</v>
          </cell>
          <cell r="M800">
            <v>5666</v>
          </cell>
          <cell r="N800" t="str">
            <v>01 - 31 MARCH</v>
          </cell>
          <cell r="O800" t="str">
            <v>(NR260322) Asus Mar Top Picks_Sellout Support_RF _Select Store</v>
          </cell>
        </row>
        <row r="801">
          <cell r="C801" t="str">
            <v>RF GU605MV-CO711WS</v>
          </cell>
          <cell r="E801" t="str">
            <v>GU605MV-CO711WS</v>
          </cell>
          <cell r="F801" t="str">
            <v>90NR0IT1-M006D0</v>
          </cell>
          <cell r="G801" t="str">
            <v>Core Ultra 7 155H/ RTX4060- 8GB/ 16GB DDR5 / 1TB PCIe® 4.0 NVMe™ M.2 SSD/ 16.0" 2.5K OLED ROG Nebula Display ,500NITS(240HZ)/ Backlit KB- 1 zone RGB/ 90Whr/ WIN 11/ Office H&amp;S 2021/ / McAfee(1 year)/ Eclipse Gray</v>
          </cell>
          <cell r="H801">
            <v>125992.99999999999</v>
          </cell>
          <cell r="I801">
            <v>101969</v>
          </cell>
          <cell r="J801">
            <v>122492.99999999999</v>
          </cell>
          <cell r="K801">
            <v>99136</v>
          </cell>
          <cell r="L801">
            <v>3500</v>
          </cell>
          <cell r="M801">
            <v>2833</v>
          </cell>
          <cell r="N801" t="str">
            <v>01 - 31 MARCH</v>
          </cell>
          <cell r="O801" t="str">
            <v>(NR260322) Asus Mar Top Picks_Sellout Support_RF _Select Store</v>
          </cell>
        </row>
        <row r="802">
          <cell r="C802" t="str">
            <v>RF FA507UI-LP066WS</v>
          </cell>
          <cell r="E802" t="str">
            <v>FA507UI-LP066WS</v>
          </cell>
          <cell r="F802" t="str">
            <v>90NR0I65-M003F0</v>
          </cell>
          <cell r="G802" t="str">
            <v>R9-8945HS/ RTX4070- 8GB GDDR6/ 8G+8G/ 1TB PCIe® 4.0/ 15.6" FHD 144Hz/ Backlit KB- 1 zone RGB/ 90WHr/ WIN 11/ Office H&amp;S 2021/ / McAfee(1 year)/ Mecha Gray</v>
          </cell>
          <cell r="H802">
            <v>128691</v>
          </cell>
          <cell r="I802">
            <v>104152</v>
          </cell>
          <cell r="J802">
            <v>124191</v>
          </cell>
          <cell r="K802">
            <v>100511</v>
          </cell>
          <cell r="L802">
            <v>4500</v>
          </cell>
          <cell r="M802">
            <v>3641</v>
          </cell>
          <cell r="N802" t="str">
            <v>01 - 31 MARCH</v>
          </cell>
          <cell r="O802" t="str">
            <v>(NR260322) Asus Mar Top Picks_Sellout Support_RF _Select Store</v>
          </cell>
        </row>
        <row r="803">
          <cell r="C803" t="str">
            <v>RF UX8406CA-PZ106WS</v>
          </cell>
          <cell r="E803" t="str">
            <v>UX8406CA-PZ106WS</v>
          </cell>
          <cell r="F803" t="str">
            <v>90NB14X1-M00C60</v>
          </cell>
          <cell r="G803" t="str">
            <v xml:space="preserve">Intel® Core™ Ultra 9 Processor 285H 2.9 GHz / EVO /  /  / LPDDR5 32G[ON BD.] / 1TB PCIe® 4.0 SSD / 14.0-inch / 14" OLED WQXGA+ BEND GLARE TOUCH(OGM),400NITS(HDR),DCI-P3:100%(120HZ)-NB(PZ) /  / INKWELL GREY / Backlit KB / Win 11 Home / Office Home 2024 &amp; M365 Basic 1 Year / </v>
          </cell>
          <cell r="H803">
            <v>167993</v>
          </cell>
          <cell r="I803">
            <v>135960</v>
          </cell>
          <cell r="J803">
            <v>125993</v>
          </cell>
          <cell r="K803">
            <v>101969</v>
          </cell>
          <cell r="L803">
            <v>42000</v>
          </cell>
          <cell r="M803">
            <v>33991</v>
          </cell>
          <cell r="N803" t="str">
            <v>01 - 29 MARCH</v>
          </cell>
          <cell r="O803" t="str">
            <v>(NB20260315)_Mar_Sellout Support_RF _Asus_Select</v>
          </cell>
        </row>
        <row r="804">
          <cell r="C804" t="str">
            <v>RF G614PR-RV032WS</v>
          </cell>
          <cell r="E804" t="str">
            <v>G614PR-RV032WS</v>
          </cell>
          <cell r="F804" t="str">
            <v>90NR0NJ7-M001V0</v>
          </cell>
          <cell r="G804" t="str">
            <v>R9-8940HX up to 16 tops/RTX5070Ti 12GB/DDR5 16GB/1TB PCIe® 4.0 NVMe™ M.2 SSD/16.0 WUXGA ANTI-GLARE NON-TOUCH,300NITS/B,SRGB 100%(165HZ),IPS-NB(RV)/Backlit Chiclet Keyboard 4-Zone RGB With Copilot key/90WHrs, 4S1P, 4-cell Li-ion/OFFICE HOME 2024 (IN)+M365 BASIC//Gray</v>
          </cell>
          <cell r="H804">
            <v>174993</v>
          </cell>
          <cell r="I804">
            <v>141626</v>
          </cell>
          <cell r="J804">
            <v>134393</v>
          </cell>
          <cell r="K804">
            <v>108767</v>
          </cell>
          <cell r="L804">
            <v>40600</v>
          </cell>
          <cell r="M804">
            <v>32859</v>
          </cell>
          <cell r="N804" t="str">
            <v>01 - 15 MARCH</v>
          </cell>
          <cell r="O804" t="str">
            <v>(NR260304) Asus your vibe your color your Deal _Sellout Support_RF _Select Store</v>
          </cell>
        </row>
        <row r="805">
          <cell r="C805" t="str">
            <v>RF UX582ZM-H901WS</v>
          </cell>
          <cell r="E805" t="str">
            <v>UX582ZM-H901WS</v>
          </cell>
          <cell r="F805" t="str">
            <v>90NB0VR1-M00170</v>
          </cell>
          <cell r="G805" t="str">
            <v>i9 12900H / RTX 3060 / 32GB LPDDR5 / 1TB 4.0 PeRF ormance SSD / 15.6-inch 4K OLED  / NumberPad /  / Backlit Keyboard / Celestial Blue / Win 11 / MS Office</v>
          </cell>
          <cell r="H805">
            <v>153993</v>
          </cell>
          <cell r="I805">
            <v>124630</v>
          </cell>
          <cell r="J805">
            <v>138593</v>
          </cell>
          <cell r="K805">
            <v>112166</v>
          </cell>
          <cell r="L805">
            <v>15400</v>
          </cell>
          <cell r="M805">
            <v>12464</v>
          </cell>
          <cell r="N805" t="str">
            <v>01 - 29 MARCH</v>
          </cell>
          <cell r="O805" t="str">
            <v>(NB20260315)_Mar_Sellout Support_RF _Asus_Select</v>
          </cell>
        </row>
        <row r="806">
          <cell r="C806" t="str">
            <v>RF GU605MI-QP245WS</v>
          </cell>
          <cell r="E806" t="str">
            <v>GU605MI-QP245WS</v>
          </cell>
          <cell r="F806" t="str">
            <v>90NR0IS4-M00CC0</v>
          </cell>
          <cell r="G806" t="str">
            <v>Core Ultra 9 185H/ RTX4070- 8GB/ 16GB DDR5 / 1TB PCIe® 4.0 NVMe™ M.2 SSD/ [ROG Nebula Display]  500 Nits,16" QHD 240Hz / Backlit KB- 1 zone RGB/ 90Whr/ WIN 11/ Office H&amp;S 2021/ / McAfee(1 year)/ 3H-PLATINUM WHITE</v>
          </cell>
          <cell r="H806">
            <v>146993</v>
          </cell>
          <cell r="I806">
            <v>117719</v>
          </cell>
          <cell r="J806">
            <v>139993</v>
          </cell>
          <cell r="K806">
            <v>112113</v>
          </cell>
          <cell r="L806">
            <v>7000</v>
          </cell>
          <cell r="M806">
            <v>5606</v>
          </cell>
          <cell r="N806" t="str">
            <v>01 - 31 MARCH</v>
          </cell>
          <cell r="O806" t="str">
            <v>(NR260322) Asus Mar Top Picks_Sellout Support_RF _Select Store</v>
          </cell>
        </row>
        <row r="807">
          <cell r="C807" t="str">
            <v>RF UX7602BZ-NY961WS</v>
          </cell>
          <cell r="E807" t="str">
            <v>UX7602BZ-NY961WS</v>
          </cell>
          <cell r="F807" t="str">
            <v>90NB11C1-M000D0</v>
          </cell>
          <cell r="G807" t="str">
            <v xml:space="preserve">Intel® Core™ i9-13905HX / NVIDIA® RTX™ 4080 Laptop GPU / 12GB GDDR6 / 32GB LPDDR5X / 1TB PCIe® 4.0 PeRF ormance SSD / 16.0-inch / 3.2K (3200 x 2000) OLED 16:10  /  / Tech Black /  /  / FingerPrint / Backlit KB / Win 11 Home / MS Office / </v>
          </cell>
          <cell r="H807">
            <v>209993</v>
          </cell>
          <cell r="I807">
            <v>169952</v>
          </cell>
          <cell r="J807">
            <v>139993</v>
          </cell>
          <cell r="K807">
            <v>113299</v>
          </cell>
          <cell r="L807">
            <v>70000</v>
          </cell>
          <cell r="M807">
            <v>56653</v>
          </cell>
          <cell r="N807" t="str">
            <v>01 - 29 MARCH</v>
          </cell>
          <cell r="O807" t="str">
            <v>(NB20260315)_Mar_Sellout Support_RF _Asus_Select</v>
          </cell>
        </row>
        <row r="808">
          <cell r="C808" t="str">
            <v>RF GU605MI-QP253WS</v>
          </cell>
          <cell r="E808" t="str">
            <v>GU605MI-QP253WS</v>
          </cell>
          <cell r="F808" t="str">
            <v>90NR0IS3-M00CV0</v>
          </cell>
          <cell r="G808" t="str">
            <v>Core Ultra 9 185H/ RTX4070- 8GB/ 16GB*2 LPDDR5X on board/ 1TB PCIe® 4.0 NVMe™ M.2 SSD/ [ROG Nebula Display]  500 Nits,16" QHD 240Hz / Backlit KB- 1 zone RGB/ 90Whr/ WIN 11/ Office H&amp;S 2021/ / McAfee(1 year)/ 3E-ECLIPSE GRAY</v>
          </cell>
          <cell r="H808">
            <v>153993</v>
          </cell>
          <cell r="I808">
            <v>123325</v>
          </cell>
          <cell r="J808">
            <v>150493</v>
          </cell>
          <cell r="K808">
            <v>120522</v>
          </cell>
          <cell r="L808">
            <v>3500</v>
          </cell>
          <cell r="M808">
            <v>2803</v>
          </cell>
          <cell r="N808" t="str">
            <v>01 - 31 MARCH</v>
          </cell>
          <cell r="O808" t="str">
            <v>(NR260322) Asus Mar Top Picks_Sellout Support_RF _Select Store</v>
          </cell>
        </row>
        <row r="809">
          <cell r="C809" t="str">
            <v>RF G634JZR-CM932WS</v>
          </cell>
          <cell r="E809" t="str">
            <v>G634JZR-CM932WS</v>
          </cell>
          <cell r="F809" t="str">
            <v>90NR0IC2-M00310</v>
          </cell>
          <cell r="G809" t="str">
            <v>i9-14900HX/ RTX4080- 12GB GDDR6/ 32GB DDR5 (2 x 16GB)/ 2TB SSD [PeRF ormance SSD]/ [Nebula HDR] 16.0 Mini LED, 240HZ, WQXGA WV,DCI-P3:100%, 1100NITS(HDR)/ Backlit Chiclet Keyboard Per-Key RGB/ 90Whr/ WIN 11/ Office H&amp;S 2021/ / McAfee(1 year)/ 3A-OFF BLACK</v>
          </cell>
          <cell r="H809">
            <v>176994</v>
          </cell>
          <cell r="I809">
            <v>141745</v>
          </cell>
          <cell r="J809">
            <v>167994</v>
          </cell>
          <cell r="K809">
            <v>134538</v>
          </cell>
          <cell r="L809">
            <v>9000</v>
          </cell>
          <cell r="M809">
            <v>7207</v>
          </cell>
          <cell r="N809" t="str">
            <v>01 - 31 MARCH</v>
          </cell>
          <cell r="O809" t="str">
            <v>(NR260322) Asus Mar Top Picks_Sellout Support_RF _Select Store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25.109375" style="3" bestFit="1" customWidth="1"/>
    <col min="2" max="2" width="18.44140625" style="3" bestFit="1" customWidth="1"/>
    <col min="3" max="3" width="21.33203125" style="3" bestFit="1" customWidth="1"/>
    <col min="4" max="4" width="19.21875" style="3" bestFit="1" customWidth="1"/>
    <col min="5" max="6" width="13.5546875" style="4" bestFit="1" customWidth="1"/>
    <col min="7" max="7" width="25.33203125" style="4" bestFit="1" customWidth="1"/>
    <col min="8" max="8" width="22.44140625" style="4" bestFit="1" customWidth="1"/>
    <col min="9" max="9" width="20" style="4" bestFit="1" customWidth="1"/>
    <col min="10" max="10" width="17.77734375" style="4" bestFit="1" customWidth="1"/>
    <col min="11" max="11" width="19.21875" style="3" bestFit="1" customWidth="1"/>
    <col min="12" max="12" width="101.5546875" style="3" bestFit="1" customWidth="1"/>
    <col min="13" max="13" width="32.5546875" style="4" bestFit="1" customWidth="1"/>
    <col min="14" max="14" width="25" style="3" bestFit="1" customWidth="1"/>
    <col min="15" max="16384" width="8.88671875" style="3"/>
  </cols>
  <sheetData>
    <row r="1" spans="1:14" x14ac:dyDescent="0.3">
      <c r="A1" s="5" t="s">
        <v>538</v>
      </c>
      <c r="B1" s="5" t="s">
        <v>539</v>
      </c>
      <c r="C1" s="5" t="s">
        <v>540</v>
      </c>
      <c r="D1" s="6" t="s">
        <v>973</v>
      </c>
      <c r="E1" s="7" t="s">
        <v>670</v>
      </c>
      <c r="F1" s="7" t="s">
        <v>974</v>
      </c>
      <c r="G1" s="7" t="s">
        <v>975</v>
      </c>
      <c r="H1" s="7" t="s">
        <v>671</v>
      </c>
      <c r="I1" s="7" t="s">
        <v>672</v>
      </c>
      <c r="J1" s="7" t="s">
        <v>673</v>
      </c>
      <c r="K1" s="6" t="s">
        <v>674</v>
      </c>
      <c r="L1" s="6" t="s">
        <v>675</v>
      </c>
      <c r="M1" s="4" t="s">
        <v>813</v>
      </c>
      <c r="N1" s="3" t="s">
        <v>814</v>
      </c>
    </row>
    <row r="2" spans="1:14" x14ac:dyDescent="0.3">
      <c r="A2" s="1" t="s">
        <v>599</v>
      </c>
      <c r="B2" s="1" t="s">
        <v>211</v>
      </c>
      <c r="C2" s="2" t="s">
        <v>9</v>
      </c>
      <c r="D2" s="3" t="s">
        <v>708</v>
      </c>
      <c r="E2" s="4">
        <v>40990</v>
      </c>
      <c r="F2" s="4">
        <v>33174</v>
      </c>
      <c r="G2" s="4">
        <v>37990</v>
      </c>
      <c r="H2" s="4">
        <v>30746</v>
      </c>
      <c r="I2" s="4">
        <v>3000</v>
      </c>
      <c r="J2" s="4">
        <v>2428</v>
      </c>
      <c r="K2" s="3" t="s">
        <v>677</v>
      </c>
      <c r="L2" s="3" t="s">
        <v>702</v>
      </c>
      <c r="M2" s="4" t="s">
        <v>0</v>
      </c>
      <c r="N2" s="3" t="s">
        <v>0</v>
      </c>
    </row>
    <row r="3" spans="1:14" x14ac:dyDescent="0.3">
      <c r="A3" s="1" t="s">
        <v>555</v>
      </c>
      <c r="B3" s="1" t="s">
        <v>26</v>
      </c>
      <c r="C3" s="2" t="s">
        <v>2</v>
      </c>
      <c r="D3" s="3" t="s">
        <v>679</v>
      </c>
      <c r="E3" s="4">
        <v>40990</v>
      </c>
      <c r="F3" s="4">
        <v>33174</v>
      </c>
      <c r="G3" s="4">
        <v>38990</v>
      </c>
      <c r="H3" s="4">
        <v>31555</v>
      </c>
      <c r="I3" s="4">
        <v>2000</v>
      </c>
      <c r="J3" s="4">
        <v>1619</v>
      </c>
      <c r="K3" s="3" t="s">
        <v>680</v>
      </c>
      <c r="L3" s="3" t="s">
        <v>681</v>
      </c>
      <c r="M3" s="4" t="s">
        <v>0</v>
      </c>
      <c r="N3" s="3" t="s">
        <v>0</v>
      </c>
    </row>
    <row r="4" spans="1:14" x14ac:dyDescent="0.3">
      <c r="A4" s="1" t="s">
        <v>555</v>
      </c>
      <c r="B4" s="1" t="s">
        <v>27</v>
      </c>
      <c r="C4" s="2" t="s">
        <v>666</v>
      </c>
      <c r="D4" s="3" t="s">
        <v>679</v>
      </c>
      <c r="E4" s="4">
        <v>40990</v>
      </c>
      <c r="F4" s="4">
        <v>33174</v>
      </c>
      <c r="G4" s="4">
        <v>38990</v>
      </c>
      <c r="H4" s="4">
        <v>31555</v>
      </c>
      <c r="I4" s="4">
        <v>2000</v>
      </c>
      <c r="J4" s="4">
        <v>1619</v>
      </c>
      <c r="K4" s="3" t="s">
        <v>680</v>
      </c>
      <c r="L4" s="3" t="s">
        <v>681</v>
      </c>
      <c r="M4" s="4" t="s">
        <v>0</v>
      </c>
      <c r="N4" s="3" t="s">
        <v>0</v>
      </c>
    </row>
    <row r="5" spans="1:14" x14ac:dyDescent="0.3">
      <c r="A5" s="1" t="s">
        <v>556</v>
      </c>
      <c r="B5" s="1" t="s">
        <v>28</v>
      </c>
      <c r="C5" s="2" t="s">
        <v>666</v>
      </c>
      <c r="D5" s="3" t="s">
        <v>682</v>
      </c>
      <c r="E5" s="4">
        <v>40990</v>
      </c>
      <c r="F5" s="4">
        <v>33174</v>
      </c>
      <c r="G5" s="4">
        <v>38990</v>
      </c>
      <c r="H5" s="4">
        <v>31555</v>
      </c>
      <c r="I5" s="4">
        <v>2000</v>
      </c>
      <c r="J5" s="4">
        <v>1619</v>
      </c>
      <c r="K5" s="3" t="s">
        <v>680</v>
      </c>
      <c r="L5" s="3" t="s">
        <v>681</v>
      </c>
      <c r="M5" s="4" t="s">
        <v>0</v>
      </c>
      <c r="N5" s="3" t="s">
        <v>0</v>
      </c>
    </row>
    <row r="6" spans="1:14" x14ac:dyDescent="0.3">
      <c r="A6" s="1" t="s">
        <v>556</v>
      </c>
      <c r="B6" s="1" t="s">
        <v>29</v>
      </c>
      <c r="C6" s="2" t="s">
        <v>18</v>
      </c>
      <c r="D6" s="3" t="s">
        <v>682</v>
      </c>
      <c r="E6" s="4">
        <v>40990</v>
      </c>
      <c r="F6" s="4">
        <v>33174</v>
      </c>
      <c r="G6" s="4">
        <v>38990</v>
      </c>
      <c r="H6" s="4">
        <v>31555</v>
      </c>
      <c r="I6" s="4">
        <v>2000</v>
      </c>
      <c r="J6" s="4">
        <v>1619</v>
      </c>
      <c r="K6" s="3" t="s">
        <v>680</v>
      </c>
      <c r="L6" s="3" t="s">
        <v>681</v>
      </c>
      <c r="M6" s="4" t="s">
        <v>0</v>
      </c>
      <c r="N6" s="3" t="s">
        <v>0</v>
      </c>
    </row>
    <row r="7" spans="1:14" x14ac:dyDescent="0.3">
      <c r="A7" s="1" t="s">
        <v>557</v>
      </c>
      <c r="B7" s="1" t="s">
        <v>30</v>
      </c>
      <c r="C7" s="2" t="s">
        <v>31</v>
      </c>
      <c r="D7" s="3" t="s">
        <v>683</v>
      </c>
      <c r="E7" s="4">
        <v>40990</v>
      </c>
      <c r="F7" s="4">
        <v>33174</v>
      </c>
      <c r="G7" s="4">
        <v>39990</v>
      </c>
      <c r="H7" s="4">
        <v>32365</v>
      </c>
      <c r="I7" s="4">
        <v>1000</v>
      </c>
      <c r="J7" s="4">
        <v>809</v>
      </c>
      <c r="K7" s="3" t="s">
        <v>680</v>
      </c>
      <c r="L7" s="3" t="s">
        <v>681</v>
      </c>
      <c r="M7" s="4" t="s">
        <v>0</v>
      </c>
      <c r="N7" s="3" t="s">
        <v>0</v>
      </c>
    </row>
    <row r="8" spans="1:14" x14ac:dyDescent="0.3">
      <c r="A8" s="1" t="s">
        <v>557</v>
      </c>
      <c r="B8" s="1" t="s">
        <v>32</v>
      </c>
      <c r="C8" s="2" t="s">
        <v>9</v>
      </c>
      <c r="D8" s="3" t="s">
        <v>683</v>
      </c>
      <c r="E8" s="4">
        <v>40990</v>
      </c>
      <c r="F8" s="4">
        <v>33174</v>
      </c>
      <c r="G8" s="4">
        <v>39990</v>
      </c>
      <c r="H8" s="4">
        <v>32365</v>
      </c>
      <c r="I8" s="4">
        <v>1000</v>
      </c>
      <c r="J8" s="4">
        <v>809</v>
      </c>
      <c r="K8" s="3" t="s">
        <v>680</v>
      </c>
      <c r="L8" s="3" t="s">
        <v>681</v>
      </c>
      <c r="M8" s="4" t="s">
        <v>0</v>
      </c>
      <c r="N8" s="3" t="s">
        <v>0</v>
      </c>
    </row>
    <row r="9" spans="1:14" x14ac:dyDescent="0.3">
      <c r="A9" s="1" t="s">
        <v>558</v>
      </c>
      <c r="B9" s="1" t="s">
        <v>33</v>
      </c>
      <c r="C9" s="2" t="s">
        <v>2</v>
      </c>
      <c r="D9" s="3" t="s">
        <v>684</v>
      </c>
      <c r="E9" s="4">
        <v>40990</v>
      </c>
      <c r="F9" s="4">
        <v>33174</v>
      </c>
      <c r="G9" s="4">
        <v>39990</v>
      </c>
      <c r="H9" s="4">
        <v>32365</v>
      </c>
      <c r="I9" s="4">
        <v>1000</v>
      </c>
      <c r="J9" s="4">
        <v>809</v>
      </c>
      <c r="K9" s="3" t="s">
        <v>680</v>
      </c>
      <c r="L9" s="3" t="s">
        <v>681</v>
      </c>
      <c r="M9" s="4" t="s">
        <v>0</v>
      </c>
      <c r="N9" s="3" t="s">
        <v>0</v>
      </c>
    </row>
    <row r="10" spans="1:14" x14ac:dyDescent="0.3">
      <c r="A10" s="1" t="s">
        <v>558</v>
      </c>
      <c r="B10" s="1" t="s">
        <v>34</v>
      </c>
      <c r="C10" s="2" t="s">
        <v>2</v>
      </c>
      <c r="D10" s="3" t="s">
        <v>684</v>
      </c>
      <c r="E10" s="4">
        <v>40990</v>
      </c>
      <c r="F10" s="4">
        <v>33174</v>
      </c>
      <c r="G10" s="4">
        <v>39990</v>
      </c>
      <c r="H10" s="4">
        <v>32365</v>
      </c>
      <c r="I10" s="4">
        <v>1000</v>
      </c>
      <c r="J10" s="4">
        <v>809</v>
      </c>
      <c r="K10" s="3" t="s">
        <v>680</v>
      </c>
      <c r="L10" s="3" t="s">
        <v>681</v>
      </c>
      <c r="M10" s="4" t="s">
        <v>0</v>
      </c>
      <c r="N10" s="3" t="s">
        <v>0</v>
      </c>
    </row>
    <row r="11" spans="1:14" x14ac:dyDescent="0.3">
      <c r="A11" s="1" t="s">
        <v>644</v>
      </c>
      <c r="B11" s="1" t="s">
        <v>419</v>
      </c>
      <c r="C11" s="2" t="s">
        <v>2</v>
      </c>
      <c r="D11" s="3" t="s">
        <v>766</v>
      </c>
      <c r="E11" s="4">
        <v>42990</v>
      </c>
      <c r="F11" s="4">
        <v>34793</v>
      </c>
      <c r="G11" s="4">
        <v>40990</v>
      </c>
      <c r="H11" s="4">
        <v>33174</v>
      </c>
      <c r="I11" s="4">
        <v>2000</v>
      </c>
      <c r="J11" s="4">
        <v>1619</v>
      </c>
      <c r="K11" s="3" t="s">
        <v>677</v>
      </c>
      <c r="L11" s="3" t="s">
        <v>710</v>
      </c>
      <c r="M11" s="4" t="s">
        <v>0</v>
      </c>
      <c r="N11" s="3" t="s">
        <v>0</v>
      </c>
    </row>
    <row r="12" spans="1:14" x14ac:dyDescent="0.3">
      <c r="A12" s="1" t="s">
        <v>644</v>
      </c>
      <c r="B12" s="1" t="s">
        <v>420</v>
      </c>
      <c r="C12" s="2" t="s">
        <v>666</v>
      </c>
      <c r="D12" s="3" t="s">
        <v>766</v>
      </c>
      <c r="E12" s="4">
        <v>42990</v>
      </c>
      <c r="F12" s="4">
        <v>34793</v>
      </c>
      <c r="G12" s="4">
        <v>40990</v>
      </c>
      <c r="H12" s="4">
        <v>33174</v>
      </c>
      <c r="I12" s="4">
        <v>2000</v>
      </c>
      <c r="J12" s="4">
        <v>1619</v>
      </c>
      <c r="K12" s="3" t="s">
        <v>677</v>
      </c>
      <c r="L12" s="3" t="s">
        <v>710</v>
      </c>
      <c r="M12" s="4" t="s">
        <v>0</v>
      </c>
      <c r="N12" s="3" t="s">
        <v>0</v>
      </c>
    </row>
    <row r="13" spans="1:14" x14ac:dyDescent="0.3">
      <c r="A13" s="1" t="s">
        <v>644</v>
      </c>
      <c r="B13" s="1" t="s">
        <v>421</v>
      </c>
      <c r="C13" s="2" t="s">
        <v>13</v>
      </c>
      <c r="D13" s="3" t="s">
        <v>766</v>
      </c>
      <c r="E13" s="4">
        <v>42990</v>
      </c>
      <c r="F13" s="4">
        <v>34793</v>
      </c>
      <c r="G13" s="4">
        <v>40990</v>
      </c>
      <c r="H13" s="4">
        <v>33174</v>
      </c>
      <c r="I13" s="4">
        <v>2000</v>
      </c>
      <c r="J13" s="4">
        <v>1619</v>
      </c>
      <c r="K13" s="3" t="s">
        <v>677</v>
      </c>
      <c r="L13" s="3" t="s">
        <v>710</v>
      </c>
      <c r="M13" s="4" t="s">
        <v>0</v>
      </c>
      <c r="N13" s="3" t="s">
        <v>0</v>
      </c>
    </row>
    <row r="14" spans="1:14" x14ac:dyDescent="0.3">
      <c r="A14" s="1" t="s">
        <v>644</v>
      </c>
      <c r="B14" s="1" t="s">
        <v>422</v>
      </c>
      <c r="C14" s="2" t="s">
        <v>2</v>
      </c>
      <c r="D14" s="3" t="s">
        <v>766</v>
      </c>
      <c r="E14" s="4">
        <v>42990</v>
      </c>
      <c r="F14" s="4">
        <v>34793</v>
      </c>
      <c r="G14" s="4">
        <v>40990</v>
      </c>
      <c r="H14" s="4">
        <v>33174</v>
      </c>
      <c r="I14" s="4">
        <v>2000</v>
      </c>
      <c r="J14" s="4">
        <v>1619</v>
      </c>
      <c r="K14" s="3" t="s">
        <v>677</v>
      </c>
      <c r="L14" s="3" t="s">
        <v>710</v>
      </c>
      <c r="M14" s="4" t="s">
        <v>0</v>
      </c>
      <c r="N14" s="3" t="s">
        <v>0</v>
      </c>
    </row>
    <row r="15" spans="1:14" x14ac:dyDescent="0.3">
      <c r="A15" s="1" t="s">
        <v>644</v>
      </c>
      <c r="B15" s="1" t="s">
        <v>423</v>
      </c>
      <c r="C15" s="2" t="s">
        <v>2</v>
      </c>
      <c r="D15" s="3" t="s">
        <v>766</v>
      </c>
      <c r="E15" s="4">
        <v>42990</v>
      </c>
      <c r="F15" s="4">
        <v>34793</v>
      </c>
      <c r="G15" s="4">
        <v>40990</v>
      </c>
      <c r="H15" s="4">
        <v>33174</v>
      </c>
      <c r="I15" s="4">
        <v>2000</v>
      </c>
      <c r="J15" s="4">
        <v>1619</v>
      </c>
      <c r="K15" s="3" t="s">
        <v>677</v>
      </c>
      <c r="L15" s="3" t="s">
        <v>710</v>
      </c>
      <c r="M15" s="4" t="s">
        <v>0</v>
      </c>
      <c r="N15" s="3" t="s">
        <v>0</v>
      </c>
    </row>
    <row r="16" spans="1:14" x14ac:dyDescent="0.3">
      <c r="A16" s="1" t="s">
        <v>643</v>
      </c>
      <c r="B16" s="1" t="s">
        <v>399</v>
      </c>
      <c r="C16" s="2" t="s">
        <v>2</v>
      </c>
      <c r="D16" s="3" t="s">
        <v>765</v>
      </c>
      <c r="E16" s="4">
        <v>42990</v>
      </c>
      <c r="F16" s="4">
        <v>34793</v>
      </c>
      <c r="G16" s="4">
        <v>40990</v>
      </c>
      <c r="H16" s="4">
        <v>33174</v>
      </c>
      <c r="I16" s="4">
        <v>2000</v>
      </c>
      <c r="J16" s="4">
        <v>1619</v>
      </c>
      <c r="K16" s="3" t="s">
        <v>677</v>
      </c>
      <c r="L16" s="3" t="s">
        <v>710</v>
      </c>
      <c r="M16" s="4" t="s">
        <v>0</v>
      </c>
      <c r="N16" s="3" t="s">
        <v>0</v>
      </c>
    </row>
    <row r="17" spans="1:14" x14ac:dyDescent="0.3">
      <c r="A17" s="1" t="s">
        <v>643</v>
      </c>
      <c r="B17" s="1" t="s">
        <v>400</v>
      </c>
      <c r="C17" s="2" t="s">
        <v>666</v>
      </c>
      <c r="D17" s="3" t="s">
        <v>765</v>
      </c>
      <c r="E17" s="4">
        <v>42990</v>
      </c>
      <c r="F17" s="4">
        <v>34793</v>
      </c>
      <c r="G17" s="4">
        <v>40990</v>
      </c>
      <c r="H17" s="4">
        <v>33174</v>
      </c>
      <c r="I17" s="4">
        <v>2000</v>
      </c>
      <c r="J17" s="4">
        <v>1619</v>
      </c>
      <c r="K17" s="3" t="s">
        <v>677</v>
      </c>
      <c r="L17" s="3" t="s">
        <v>710</v>
      </c>
      <c r="M17" s="4" t="s">
        <v>0</v>
      </c>
      <c r="N17" s="3" t="s">
        <v>0</v>
      </c>
    </row>
    <row r="18" spans="1:14" x14ac:dyDescent="0.3">
      <c r="A18" s="1" t="s">
        <v>643</v>
      </c>
      <c r="B18" s="1" t="s">
        <v>401</v>
      </c>
      <c r="C18" s="2" t="s">
        <v>666</v>
      </c>
      <c r="D18" s="3" t="s">
        <v>765</v>
      </c>
      <c r="E18" s="4">
        <v>42990</v>
      </c>
      <c r="F18" s="4">
        <v>34793</v>
      </c>
      <c r="G18" s="4">
        <v>40990</v>
      </c>
      <c r="H18" s="4">
        <v>33174</v>
      </c>
      <c r="I18" s="4">
        <v>2000</v>
      </c>
      <c r="J18" s="4">
        <v>1619</v>
      </c>
      <c r="K18" s="3" t="s">
        <v>677</v>
      </c>
      <c r="L18" s="3" t="s">
        <v>710</v>
      </c>
      <c r="M18" s="4" t="s">
        <v>0</v>
      </c>
      <c r="N18" s="3" t="s">
        <v>0</v>
      </c>
    </row>
    <row r="19" spans="1:14" x14ac:dyDescent="0.3">
      <c r="A19" s="1" t="s">
        <v>643</v>
      </c>
      <c r="B19" s="1" t="s">
        <v>402</v>
      </c>
      <c r="C19" s="2" t="s">
        <v>13</v>
      </c>
      <c r="D19" s="3" t="s">
        <v>765</v>
      </c>
      <c r="E19" s="4">
        <v>42990</v>
      </c>
      <c r="F19" s="4">
        <v>34793</v>
      </c>
      <c r="G19" s="4">
        <v>40990</v>
      </c>
      <c r="H19" s="4">
        <v>33174</v>
      </c>
      <c r="I19" s="4">
        <v>2000</v>
      </c>
      <c r="J19" s="4">
        <v>1619</v>
      </c>
      <c r="K19" s="3" t="s">
        <v>677</v>
      </c>
      <c r="L19" s="3" t="s">
        <v>710</v>
      </c>
      <c r="M19" s="4" t="s">
        <v>0</v>
      </c>
      <c r="N19" s="3" t="s">
        <v>0</v>
      </c>
    </row>
    <row r="20" spans="1:14" x14ac:dyDescent="0.3">
      <c r="A20" s="1" t="s">
        <v>643</v>
      </c>
      <c r="B20" s="1" t="s">
        <v>403</v>
      </c>
      <c r="C20" s="2" t="s">
        <v>2</v>
      </c>
      <c r="D20" s="3" t="s">
        <v>765</v>
      </c>
      <c r="E20" s="4">
        <v>42990</v>
      </c>
      <c r="F20" s="4">
        <v>34793</v>
      </c>
      <c r="G20" s="4">
        <v>40990</v>
      </c>
      <c r="H20" s="4">
        <v>33174</v>
      </c>
      <c r="I20" s="4">
        <v>2000</v>
      </c>
      <c r="J20" s="4">
        <v>1619</v>
      </c>
      <c r="K20" s="3" t="s">
        <v>677</v>
      </c>
      <c r="L20" s="3" t="s">
        <v>710</v>
      </c>
      <c r="M20" s="4" t="s">
        <v>0</v>
      </c>
      <c r="N20" s="3" t="s">
        <v>0</v>
      </c>
    </row>
    <row r="21" spans="1:14" x14ac:dyDescent="0.3">
      <c r="A21" s="1" t="s">
        <v>643</v>
      </c>
      <c r="B21" s="1" t="s">
        <v>404</v>
      </c>
      <c r="C21" s="2" t="s">
        <v>666</v>
      </c>
      <c r="D21" s="3" t="s">
        <v>765</v>
      </c>
      <c r="E21" s="4">
        <v>42990</v>
      </c>
      <c r="F21" s="4">
        <v>34793</v>
      </c>
      <c r="G21" s="4">
        <v>40990</v>
      </c>
      <c r="H21" s="4">
        <v>33174</v>
      </c>
      <c r="I21" s="4">
        <v>2000</v>
      </c>
      <c r="J21" s="4">
        <v>1619</v>
      </c>
      <c r="K21" s="3" t="s">
        <v>677</v>
      </c>
      <c r="L21" s="3" t="s">
        <v>710</v>
      </c>
      <c r="M21" s="4" t="s">
        <v>0</v>
      </c>
      <c r="N21" s="3" t="s">
        <v>0</v>
      </c>
    </row>
    <row r="22" spans="1:14" x14ac:dyDescent="0.3">
      <c r="A22" s="1" t="s">
        <v>643</v>
      </c>
      <c r="B22" s="1" t="s">
        <v>405</v>
      </c>
      <c r="C22" s="2" t="s">
        <v>18</v>
      </c>
      <c r="D22" s="3" t="s">
        <v>765</v>
      </c>
      <c r="E22" s="4">
        <v>42990</v>
      </c>
      <c r="F22" s="4">
        <v>34793</v>
      </c>
      <c r="G22" s="4">
        <v>40990</v>
      </c>
      <c r="H22" s="4">
        <v>33174</v>
      </c>
      <c r="I22" s="4">
        <v>2000</v>
      </c>
      <c r="J22" s="4">
        <v>1619</v>
      </c>
      <c r="K22" s="3" t="s">
        <v>677</v>
      </c>
      <c r="L22" s="3" t="s">
        <v>710</v>
      </c>
      <c r="M22" s="4" t="s">
        <v>0</v>
      </c>
      <c r="N22" s="3" t="s">
        <v>0</v>
      </c>
    </row>
    <row r="23" spans="1:14" x14ac:dyDescent="0.3">
      <c r="A23" s="1" t="s">
        <v>643</v>
      </c>
      <c r="B23" s="1" t="s">
        <v>406</v>
      </c>
      <c r="C23" s="2" t="s">
        <v>13</v>
      </c>
      <c r="D23" s="3" t="s">
        <v>765</v>
      </c>
      <c r="E23" s="4">
        <v>42990</v>
      </c>
      <c r="F23" s="4">
        <v>34793</v>
      </c>
      <c r="G23" s="4">
        <v>40990</v>
      </c>
      <c r="H23" s="4">
        <v>33174</v>
      </c>
      <c r="I23" s="4">
        <v>2000</v>
      </c>
      <c r="J23" s="4">
        <v>1619</v>
      </c>
      <c r="K23" s="3" t="s">
        <v>677</v>
      </c>
      <c r="L23" s="3" t="s">
        <v>710</v>
      </c>
      <c r="M23" s="4" t="s">
        <v>0</v>
      </c>
      <c r="N23" s="3" t="s">
        <v>0</v>
      </c>
    </row>
    <row r="24" spans="1:14" x14ac:dyDescent="0.3">
      <c r="A24" s="1" t="s">
        <v>643</v>
      </c>
      <c r="B24" s="1" t="s">
        <v>407</v>
      </c>
      <c r="C24" s="2" t="s">
        <v>67</v>
      </c>
      <c r="D24" s="3" t="s">
        <v>765</v>
      </c>
      <c r="E24" s="4">
        <v>42990</v>
      </c>
      <c r="F24" s="4">
        <v>34793</v>
      </c>
      <c r="G24" s="4">
        <v>40990</v>
      </c>
      <c r="H24" s="4">
        <v>33174</v>
      </c>
      <c r="I24" s="4">
        <v>2000</v>
      </c>
      <c r="J24" s="4">
        <v>1619</v>
      </c>
      <c r="K24" s="3" t="s">
        <v>677</v>
      </c>
      <c r="L24" s="3" t="s">
        <v>710</v>
      </c>
      <c r="M24" s="4" t="s">
        <v>0</v>
      </c>
      <c r="N24" s="3" t="s">
        <v>0</v>
      </c>
    </row>
    <row r="25" spans="1:14" x14ac:dyDescent="0.3">
      <c r="A25" s="1" t="s">
        <v>643</v>
      </c>
      <c r="B25" s="1" t="s">
        <v>408</v>
      </c>
      <c r="C25" s="2" t="s">
        <v>2</v>
      </c>
      <c r="D25" s="3" t="s">
        <v>765</v>
      </c>
      <c r="E25" s="4">
        <v>42990</v>
      </c>
      <c r="F25" s="4">
        <v>34793</v>
      </c>
      <c r="G25" s="4">
        <v>40990</v>
      </c>
      <c r="H25" s="4">
        <v>33174</v>
      </c>
      <c r="I25" s="4">
        <v>2000</v>
      </c>
      <c r="J25" s="4">
        <v>1619</v>
      </c>
      <c r="K25" s="3" t="s">
        <v>677</v>
      </c>
      <c r="L25" s="3" t="s">
        <v>710</v>
      </c>
      <c r="M25" s="4" t="s">
        <v>0</v>
      </c>
      <c r="N25" s="3" t="s">
        <v>0</v>
      </c>
    </row>
    <row r="26" spans="1:14" x14ac:dyDescent="0.3">
      <c r="A26" s="1" t="s">
        <v>643</v>
      </c>
      <c r="B26" s="1" t="s">
        <v>409</v>
      </c>
      <c r="C26" s="2" t="s">
        <v>2</v>
      </c>
      <c r="D26" s="3" t="s">
        <v>765</v>
      </c>
      <c r="E26" s="4">
        <v>42990</v>
      </c>
      <c r="F26" s="4">
        <v>34793</v>
      </c>
      <c r="G26" s="4">
        <v>40990</v>
      </c>
      <c r="H26" s="4">
        <v>33174</v>
      </c>
      <c r="I26" s="4">
        <v>2000</v>
      </c>
      <c r="J26" s="4">
        <v>1619</v>
      </c>
      <c r="K26" s="3" t="s">
        <v>677</v>
      </c>
      <c r="L26" s="3" t="s">
        <v>710</v>
      </c>
      <c r="M26" s="4" t="s">
        <v>0</v>
      </c>
      <c r="N26" s="3" t="s">
        <v>0</v>
      </c>
    </row>
    <row r="27" spans="1:14" x14ac:dyDescent="0.3">
      <c r="A27" s="1" t="s">
        <v>643</v>
      </c>
      <c r="B27" s="1" t="s">
        <v>410</v>
      </c>
      <c r="C27" s="2" t="s">
        <v>2</v>
      </c>
      <c r="D27" s="3" t="s">
        <v>765</v>
      </c>
      <c r="E27" s="4">
        <v>42990</v>
      </c>
      <c r="F27" s="4">
        <v>34793</v>
      </c>
      <c r="G27" s="4">
        <v>40990</v>
      </c>
      <c r="H27" s="4">
        <v>33174</v>
      </c>
      <c r="I27" s="4">
        <v>2000</v>
      </c>
      <c r="J27" s="4">
        <v>1619</v>
      </c>
      <c r="K27" s="3" t="s">
        <v>677</v>
      </c>
      <c r="L27" s="3" t="s">
        <v>710</v>
      </c>
      <c r="M27" s="4" t="s">
        <v>0</v>
      </c>
      <c r="N27" s="3" t="s">
        <v>0</v>
      </c>
    </row>
    <row r="28" spans="1:14" x14ac:dyDescent="0.3">
      <c r="A28" s="1" t="s">
        <v>643</v>
      </c>
      <c r="B28" s="1" t="s">
        <v>411</v>
      </c>
      <c r="C28" s="2" t="s">
        <v>9</v>
      </c>
      <c r="D28" s="3" t="s">
        <v>765</v>
      </c>
      <c r="E28" s="4">
        <v>42990</v>
      </c>
      <c r="F28" s="4">
        <v>34793</v>
      </c>
      <c r="G28" s="4">
        <v>40990</v>
      </c>
      <c r="H28" s="4">
        <v>33174</v>
      </c>
      <c r="I28" s="4">
        <v>2000</v>
      </c>
      <c r="J28" s="4">
        <v>1619</v>
      </c>
      <c r="K28" s="3" t="s">
        <v>677</v>
      </c>
      <c r="L28" s="3" t="s">
        <v>710</v>
      </c>
      <c r="M28" s="4" t="s">
        <v>0</v>
      </c>
      <c r="N28" s="3" t="s">
        <v>0</v>
      </c>
    </row>
    <row r="29" spans="1:14" x14ac:dyDescent="0.3">
      <c r="A29" s="1" t="s">
        <v>643</v>
      </c>
      <c r="B29" s="1" t="s">
        <v>412</v>
      </c>
      <c r="C29" s="2" t="s">
        <v>13</v>
      </c>
      <c r="D29" s="3" t="s">
        <v>765</v>
      </c>
      <c r="E29" s="4">
        <v>42990</v>
      </c>
      <c r="F29" s="4">
        <v>34793</v>
      </c>
      <c r="G29" s="4">
        <v>40990</v>
      </c>
      <c r="H29" s="4">
        <v>33174</v>
      </c>
      <c r="I29" s="4">
        <v>2000</v>
      </c>
      <c r="J29" s="4">
        <v>1619</v>
      </c>
      <c r="K29" s="3" t="s">
        <v>677</v>
      </c>
      <c r="L29" s="3" t="s">
        <v>710</v>
      </c>
      <c r="M29" s="4" t="s">
        <v>0</v>
      </c>
      <c r="N29" s="3" t="s">
        <v>0</v>
      </c>
    </row>
    <row r="30" spans="1:14" x14ac:dyDescent="0.3">
      <c r="A30" s="1" t="s">
        <v>643</v>
      </c>
      <c r="B30" s="1" t="s">
        <v>413</v>
      </c>
      <c r="C30" s="2" t="s">
        <v>31</v>
      </c>
      <c r="D30" s="3" t="s">
        <v>765</v>
      </c>
      <c r="E30" s="4">
        <v>42990</v>
      </c>
      <c r="F30" s="4">
        <v>34793</v>
      </c>
      <c r="G30" s="4">
        <v>40990</v>
      </c>
      <c r="H30" s="4">
        <v>33174</v>
      </c>
      <c r="I30" s="4">
        <v>2000</v>
      </c>
      <c r="J30" s="4">
        <v>1619</v>
      </c>
      <c r="K30" s="3" t="s">
        <v>677</v>
      </c>
      <c r="L30" s="3" t="s">
        <v>710</v>
      </c>
      <c r="M30" s="4" t="s">
        <v>0</v>
      </c>
      <c r="N30" s="3" t="s">
        <v>0</v>
      </c>
    </row>
    <row r="31" spans="1:14" x14ac:dyDescent="0.3">
      <c r="A31" s="1" t="s">
        <v>643</v>
      </c>
      <c r="B31" s="1" t="s">
        <v>414</v>
      </c>
      <c r="C31" s="2" t="s">
        <v>18</v>
      </c>
      <c r="D31" s="3" t="s">
        <v>765</v>
      </c>
      <c r="E31" s="4">
        <v>42990</v>
      </c>
      <c r="F31" s="4">
        <v>34793</v>
      </c>
      <c r="G31" s="4">
        <v>40990</v>
      </c>
      <c r="H31" s="4">
        <v>33174</v>
      </c>
      <c r="I31" s="4">
        <v>2000</v>
      </c>
      <c r="J31" s="4">
        <v>1619</v>
      </c>
      <c r="K31" s="3" t="s">
        <v>677</v>
      </c>
      <c r="L31" s="3" t="s">
        <v>710</v>
      </c>
      <c r="M31" s="4" t="s">
        <v>0</v>
      </c>
      <c r="N31" s="3" t="s">
        <v>0</v>
      </c>
    </row>
    <row r="32" spans="1:14" x14ac:dyDescent="0.3">
      <c r="A32" s="1" t="s">
        <v>643</v>
      </c>
      <c r="B32" s="1" t="s">
        <v>415</v>
      </c>
      <c r="C32" s="2" t="s">
        <v>9</v>
      </c>
      <c r="D32" s="3" t="s">
        <v>765</v>
      </c>
      <c r="E32" s="4">
        <v>42990</v>
      </c>
      <c r="F32" s="4">
        <v>34793</v>
      </c>
      <c r="G32" s="4">
        <v>40990</v>
      </c>
      <c r="H32" s="4">
        <v>33174</v>
      </c>
      <c r="I32" s="4">
        <v>2000</v>
      </c>
      <c r="J32" s="4">
        <v>1619</v>
      </c>
      <c r="K32" s="3" t="s">
        <v>677</v>
      </c>
      <c r="L32" s="3" t="s">
        <v>710</v>
      </c>
      <c r="M32" s="4" t="s">
        <v>0</v>
      </c>
      <c r="N32" s="3" t="s">
        <v>0</v>
      </c>
    </row>
    <row r="33" spans="1:14" x14ac:dyDescent="0.3">
      <c r="A33" s="1" t="s">
        <v>643</v>
      </c>
      <c r="B33" s="1" t="s">
        <v>416</v>
      </c>
      <c r="C33" s="2" t="s">
        <v>2</v>
      </c>
      <c r="D33" s="3" t="s">
        <v>765</v>
      </c>
      <c r="E33" s="4">
        <v>42990</v>
      </c>
      <c r="F33" s="4">
        <v>34793</v>
      </c>
      <c r="G33" s="4">
        <v>40990</v>
      </c>
      <c r="H33" s="4">
        <v>33174</v>
      </c>
      <c r="I33" s="4">
        <v>2000</v>
      </c>
      <c r="J33" s="4">
        <v>1619</v>
      </c>
      <c r="K33" s="3" t="s">
        <v>677</v>
      </c>
      <c r="L33" s="3" t="s">
        <v>710</v>
      </c>
      <c r="M33" s="4" t="s">
        <v>0</v>
      </c>
      <c r="N33" s="3" t="s">
        <v>0</v>
      </c>
    </row>
    <row r="34" spans="1:14" x14ac:dyDescent="0.3">
      <c r="A34" s="1" t="s">
        <v>643</v>
      </c>
      <c r="B34" s="1" t="s">
        <v>417</v>
      </c>
      <c r="C34" s="2" t="s">
        <v>2</v>
      </c>
      <c r="D34" s="3" t="s">
        <v>765</v>
      </c>
      <c r="E34" s="4">
        <v>42990</v>
      </c>
      <c r="F34" s="4">
        <v>34793</v>
      </c>
      <c r="G34" s="4">
        <v>40990</v>
      </c>
      <c r="H34" s="4">
        <v>33174</v>
      </c>
      <c r="I34" s="4">
        <v>2000</v>
      </c>
      <c r="J34" s="4">
        <v>1619</v>
      </c>
      <c r="K34" s="3" t="s">
        <v>677</v>
      </c>
      <c r="L34" s="3" t="s">
        <v>710</v>
      </c>
      <c r="M34" s="4" t="s">
        <v>0</v>
      </c>
      <c r="N34" s="3" t="s">
        <v>0</v>
      </c>
    </row>
    <row r="35" spans="1:14" x14ac:dyDescent="0.3">
      <c r="A35" s="1" t="s">
        <v>643</v>
      </c>
      <c r="B35" s="1" t="s">
        <v>418</v>
      </c>
      <c r="C35" s="2" t="s">
        <v>667</v>
      </c>
      <c r="D35" s="3" t="s">
        <v>765</v>
      </c>
      <c r="E35" s="4">
        <v>42990</v>
      </c>
      <c r="F35" s="4">
        <v>34793</v>
      </c>
      <c r="G35" s="4">
        <v>40990</v>
      </c>
      <c r="H35" s="4">
        <v>33174</v>
      </c>
      <c r="I35" s="4">
        <v>2000</v>
      </c>
      <c r="J35" s="4">
        <v>1619</v>
      </c>
      <c r="K35" s="3" t="s">
        <v>677</v>
      </c>
      <c r="L35" s="3" t="s">
        <v>710</v>
      </c>
      <c r="M35" s="4" t="s">
        <v>0</v>
      </c>
      <c r="N35" s="3" t="s">
        <v>0</v>
      </c>
    </row>
    <row r="36" spans="1:14" x14ac:dyDescent="0.3">
      <c r="A36" s="1" t="s">
        <v>645</v>
      </c>
      <c r="B36" s="1" t="s">
        <v>424</v>
      </c>
      <c r="C36" s="2" t="s">
        <v>666</v>
      </c>
      <c r="D36" s="3" t="s">
        <v>767</v>
      </c>
      <c r="E36" s="4">
        <v>42990</v>
      </c>
      <c r="F36" s="4">
        <v>34793</v>
      </c>
      <c r="G36" s="4">
        <v>40990</v>
      </c>
      <c r="H36" s="4">
        <v>33174</v>
      </c>
      <c r="I36" s="4">
        <v>2000</v>
      </c>
      <c r="J36" s="4">
        <v>1619</v>
      </c>
      <c r="K36" s="3" t="s">
        <v>677</v>
      </c>
      <c r="L36" s="3" t="s">
        <v>710</v>
      </c>
      <c r="M36" s="4" t="s">
        <v>0</v>
      </c>
      <c r="N36" s="3" t="s">
        <v>0</v>
      </c>
    </row>
    <row r="37" spans="1:14" x14ac:dyDescent="0.3">
      <c r="A37" s="1" t="s">
        <v>645</v>
      </c>
      <c r="B37" s="1" t="s">
        <v>425</v>
      </c>
      <c r="C37" s="2" t="s">
        <v>2</v>
      </c>
      <c r="D37" s="3" t="s">
        <v>767</v>
      </c>
      <c r="E37" s="4">
        <v>42990</v>
      </c>
      <c r="F37" s="4">
        <v>34793</v>
      </c>
      <c r="G37" s="4">
        <v>40990</v>
      </c>
      <c r="H37" s="4">
        <v>33174</v>
      </c>
      <c r="I37" s="4">
        <v>2000</v>
      </c>
      <c r="J37" s="4">
        <v>1619</v>
      </c>
      <c r="K37" s="3" t="s">
        <v>677</v>
      </c>
      <c r="L37" s="3" t="s">
        <v>710</v>
      </c>
      <c r="M37" s="4" t="s">
        <v>0</v>
      </c>
      <c r="N37" s="3" t="s">
        <v>0</v>
      </c>
    </row>
    <row r="38" spans="1:14" x14ac:dyDescent="0.3">
      <c r="A38" s="1" t="s">
        <v>645</v>
      </c>
      <c r="B38" s="1" t="s">
        <v>426</v>
      </c>
      <c r="C38" s="2" t="s">
        <v>2</v>
      </c>
      <c r="D38" s="3" t="s">
        <v>767</v>
      </c>
      <c r="E38" s="4">
        <v>42990</v>
      </c>
      <c r="F38" s="4">
        <v>34793</v>
      </c>
      <c r="G38" s="4">
        <v>40990</v>
      </c>
      <c r="H38" s="4">
        <v>33174</v>
      </c>
      <c r="I38" s="4">
        <v>2000</v>
      </c>
      <c r="J38" s="4">
        <v>1619</v>
      </c>
      <c r="K38" s="3" t="s">
        <v>677</v>
      </c>
      <c r="L38" s="3" t="s">
        <v>710</v>
      </c>
      <c r="M38" s="4" t="s">
        <v>0</v>
      </c>
      <c r="N38" s="3" t="s">
        <v>0</v>
      </c>
    </row>
    <row r="39" spans="1:14" x14ac:dyDescent="0.3">
      <c r="A39" s="1" t="s">
        <v>645</v>
      </c>
      <c r="B39" s="1" t="s">
        <v>427</v>
      </c>
      <c r="C39" s="2" t="s">
        <v>666</v>
      </c>
      <c r="D39" s="3" t="s">
        <v>767</v>
      </c>
      <c r="E39" s="4">
        <v>42990</v>
      </c>
      <c r="F39" s="4">
        <v>34793</v>
      </c>
      <c r="G39" s="4">
        <v>40990</v>
      </c>
      <c r="H39" s="4">
        <v>33174</v>
      </c>
      <c r="I39" s="4">
        <v>2000</v>
      </c>
      <c r="J39" s="4">
        <v>1619</v>
      </c>
      <c r="K39" s="3" t="s">
        <v>677</v>
      </c>
      <c r="L39" s="3" t="s">
        <v>710</v>
      </c>
      <c r="M39" s="4" t="s">
        <v>0</v>
      </c>
      <c r="N39" s="3" t="s">
        <v>0</v>
      </c>
    </row>
    <row r="40" spans="1:14" x14ac:dyDescent="0.3">
      <c r="A40" s="1" t="s">
        <v>645</v>
      </c>
      <c r="B40" s="1" t="s">
        <v>428</v>
      </c>
      <c r="C40" s="2" t="s">
        <v>2</v>
      </c>
      <c r="D40" s="3" t="s">
        <v>767</v>
      </c>
      <c r="E40" s="4">
        <v>42990</v>
      </c>
      <c r="F40" s="4">
        <v>34793</v>
      </c>
      <c r="G40" s="4">
        <v>40990</v>
      </c>
      <c r="H40" s="4">
        <v>33174</v>
      </c>
      <c r="I40" s="4">
        <v>2000</v>
      </c>
      <c r="J40" s="4">
        <v>1619</v>
      </c>
      <c r="K40" s="3" t="s">
        <v>677</v>
      </c>
      <c r="L40" s="3" t="s">
        <v>710</v>
      </c>
      <c r="M40" s="4" t="s">
        <v>0</v>
      </c>
      <c r="N40" s="3" t="s">
        <v>0</v>
      </c>
    </row>
    <row r="41" spans="1:14" x14ac:dyDescent="0.3">
      <c r="A41" s="1" t="s">
        <v>645</v>
      </c>
      <c r="B41" s="1" t="s">
        <v>429</v>
      </c>
      <c r="C41" s="2" t="s">
        <v>2</v>
      </c>
      <c r="D41" s="3" t="s">
        <v>767</v>
      </c>
      <c r="E41" s="4">
        <v>42990</v>
      </c>
      <c r="F41" s="4">
        <v>34793</v>
      </c>
      <c r="G41" s="4">
        <v>40990</v>
      </c>
      <c r="H41" s="4">
        <v>33174</v>
      </c>
      <c r="I41" s="4">
        <v>2000</v>
      </c>
      <c r="J41" s="4">
        <v>1619</v>
      </c>
      <c r="K41" s="3" t="s">
        <v>677</v>
      </c>
      <c r="L41" s="3" t="s">
        <v>710</v>
      </c>
      <c r="M41" s="4" t="s">
        <v>0</v>
      </c>
      <c r="N41" s="3" t="s">
        <v>0</v>
      </c>
    </row>
    <row r="42" spans="1:14" x14ac:dyDescent="0.3">
      <c r="A42" s="1" t="s">
        <v>652</v>
      </c>
      <c r="B42" s="1" t="s">
        <v>459</v>
      </c>
      <c r="C42" s="2" t="s">
        <v>2</v>
      </c>
      <c r="D42" s="3" t="s">
        <v>774</v>
      </c>
      <c r="E42" s="4">
        <v>42990</v>
      </c>
      <c r="F42" s="4">
        <v>34793</v>
      </c>
      <c r="G42" s="4">
        <v>40990</v>
      </c>
      <c r="H42" s="4">
        <v>33174</v>
      </c>
      <c r="I42" s="4">
        <v>2000</v>
      </c>
      <c r="J42" s="4">
        <v>1619</v>
      </c>
      <c r="K42" s="3" t="s">
        <v>680</v>
      </c>
      <c r="L42" s="3" t="s">
        <v>681</v>
      </c>
      <c r="M42" s="4" t="s">
        <v>0</v>
      </c>
      <c r="N42" s="3" t="s">
        <v>0</v>
      </c>
    </row>
    <row r="43" spans="1:14" x14ac:dyDescent="0.3">
      <c r="A43" s="1" t="s">
        <v>652</v>
      </c>
      <c r="B43" s="1" t="s">
        <v>460</v>
      </c>
      <c r="C43" s="2" t="s">
        <v>18</v>
      </c>
      <c r="D43" s="3" t="s">
        <v>774</v>
      </c>
      <c r="E43" s="4">
        <v>42990</v>
      </c>
      <c r="F43" s="4">
        <v>34793</v>
      </c>
      <c r="G43" s="4">
        <v>40990</v>
      </c>
      <c r="H43" s="4">
        <v>33174</v>
      </c>
      <c r="I43" s="4">
        <v>2000</v>
      </c>
      <c r="J43" s="4">
        <v>1619</v>
      </c>
      <c r="K43" s="3" t="s">
        <v>680</v>
      </c>
      <c r="L43" s="3" t="s">
        <v>681</v>
      </c>
      <c r="M43" s="4" t="s">
        <v>0</v>
      </c>
      <c r="N43" s="3" t="s">
        <v>0</v>
      </c>
    </row>
    <row r="44" spans="1:14" x14ac:dyDescent="0.3">
      <c r="A44" s="1" t="s">
        <v>652</v>
      </c>
      <c r="B44" s="1" t="s">
        <v>461</v>
      </c>
      <c r="C44" s="2" t="s">
        <v>2</v>
      </c>
      <c r="D44" s="3" t="s">
        <v>774</v>
      </c>
      <c r="E44" s="4">
        <v>42990</v>
      </c>
      <c r="F44" s="4">
        <v>34793</v>
      </c>
      <c r="G44" s="4">
        <v>40990</v>
      </c>
      <c r="H44" s="4">
        <v>33174</v>
      </c>
      <c r="I44" s="4">
        <v>2000</v>
      </c>
      <c r="J44" s="4">
        <v>1619</v>
      </c>
      <c r="K44" s="3" t="s">
        <v>680</v>
      </c>
      <c r="L44" s="3" t="s">
        <v>681</v>
      </c>
      <c r="M44" s="4" t="s">
        <v>0</v>
      </c>
      <c r="N44" s="3" t="s">
        <v>0</v>
      </c>
    </row>
    <row r="45" spans="1:14" x14ac:dyDescent="0.3">
      <c r="A45" s="1" t="s">
        <v>652</v>
      </c>
      <c r="B45" s="1" t="s">
        <v>462</v>
      </c>
      <c r="C45" s="2" t="s">
        <v>2</v>
      </c>
      <c r="D45" s="3" t="s">
        <v>774</v>
      </c>
      <c r="E45" s="4">
        <v>42990</v>
      </c>
      <c r="F45" s="4">
        <v>34793</v>
      </c>
      <c r="G45" s="4">
        <v>40990</v>
      </c>
      <c r="H45" s="4">
        <v>33174</v>
      </c>
      <c r="I45" s="4">
        <v>2000</v>
      </c>
      <c r="J45" s="4">
        <v>1619</v>
      </c>
      <c r="K45" s="3" t="s">
        <v>680</v>
      </c>
      <c r="L45" s="3" t="s">
        <v>681</v>
      </c>
      <c r="M45" s="4" t="s">
        <v>0</v>
      </c>
      <c r="N45" s="3" t="s">
        <v>0</v>
      </c>
    </row>
    <row r="46" spans="1:14" x14ac:dyDescent="0.3">
      <c r="A46" s="1" t="s">
        <v>652</v>
      </c>
      <c r="B46" s="1" t="s">
        <v>463</v>
      </c>
      <c r="C46" s="2" t="s">
        <v>666</v>
      </c>
      <c r="D46" s="3" t="s">
        <v>774</v>
      </c>
      <c r="E46" s="4">
        <v>42990</v>
      </c>
      <c r="F46" s="4">
        <v>34793</v>
      </c>
      <c r="G46" s="4">
        <v>40990</v>
      </c>
      <c r="H46" s="4">
        <v>33174</v>
      </c>
      <c r="I46" s="4">
        <v>2000</v>
      </c>
      <c r="J46" s="4">
        <v>1619</v>
      </c>
      <c r="K46" s="3" t="s">
        <v>680</v>
      </c>
      <c r="L46" s="3" t="s">
        <v>681</v>
      </c>
      <c r="M46" s="4" t="s">
        <v>0</v>
      </c>
      <c r="N46" s="3" t="s">
        <v>0</v>
      </c>
    </row>
    <row r="47" spans="1:14" x14ac:dyDescent="0.3">
      <c r="A47" s="8" t="s">
        <v>891</v>
      </c>
      <c r="B47" s="8" t="s">
        <v>816</v>
      </c>
      <c r="C47" s="8" t="s">
        <v>817</v>
      </c>
      <c r="D47" s="3" t="s">
        <v>943</v>
      </c>
      <c r="G47" s="4">
        <v>42000</v>
      </c>
      <c r="H47" s="4">
        <v>700</v>
      </c>
      <c r="J47" s="4" t="s">
        <v>941</v>
      </c>
      <c r="K47" s="3" t="s">
        <v>677</v>
      </c>
      <c r="L47" s="3" t="s">
        <v>784</v>
      </c>
    </row>
    <row r="48" spans="1:14" x14ac:dyDescent="0.3">
      <c r="A48" s="1" t="s">
        <v>559</v>
      </c>
      <c r="B48" s="1" t="s">
        <v>35</v>
      </c>
      <c r="C48" s="2" t="s">
        <v>2</v>
      </c>
      <c r="D48" s="3" t="s">
        <v>685</v>
      </c>
      <c r="E48" s="4">
        <v>44990</v>
      </c>
      <c r="F48" s="4">
        <v>36411</v>
      </c>
      <c r="G48" s="4">
        <v>42990</v>
      </c>
      <c r="H48" s="4">
        <v>34793</v>
      </c>
      <c r="I48" s="4">
        <v>2000</v>
      </c>
      <c r="J48" s="4">
        <v>1618</v>
      </c>
      <c r="K48" s="3" t="s">
        <v>680</v>
      </c>
      <c r="L48" s="3" t="s">
        <v>681</v>
      </c>
      <c r="M48" s="4" t="s">
        <v>0</v>
      </c>
      <c r="N48" s="3" t="s">
        <v>0</v>
      </c>
    </row>
    <row r="49" spans="1:14" x14ac:dyDescent="0.3">
      <c r="A49" s="1" t="s">
        <v>559</v>
      </c>
      <c r="B49" s="1" t="s">
        <v>36</v>
      </c>
      <c r="C49" s="2" t="s">
        <v>9</v>
      </c>
      <c r="D49" s="3" t="s">
        <v>685</v>
      </c>
      <c r="E49" s="4">
        <v>44990</v>
      </c>
      <c r="F49" s="4">
        <v>36411</v>
      </c>
      <c r="G49" s="4">
        <v>42990</v>
      </c>
      <c r="H49" s="4">
        <v>34793</v>
      </c>
      <c r="I49" s="4">
        <v>2000</v>
      </c>
      <c r="J49" s="4">
        <v>1618</v>
      </c>
      <c r="K49" s="3" t="s">
        <v>680</v>
      </c>
      <c r="L49" s="3" t="s">
        <v>681</v>
      </c>
      <c r="M49" s="4" t="s">
        <v>0</v>
      </c>
      <c r="N49" s="3" t="s">
        <v>0</v>
      </c>
    </row>
    <row r="50" spans="1:14" x14ac:dyDescent="0.3">
      <c r="A50" s="1" t="s">
        <v>559</v>
      </c>
      <c r="B50" s="1" t="s">
        <v>37</v>
      </c>
      <c r="C50" s="2" t="s">
        <v>18</v>
      </c>
      <c r="D50" s="3" t="s">
        <v>685</v>
      </c>
      <c r="E50" s="4">
        <v>44990</v>
      </c>
      <c r="F50" s="4">
        <v>36411</v>
      </c>
      <c r="G50" s="4">
        <v>42990</v>
      </c>
      <c r="H50" s="4">
        <v>34793</v>
      </c>
      <c r="I50" s="4">
        <v>2000</v>
      </c>
      <c r="J50" s="4">
        <v>1618</v>
      </c>
      <c r="K50" s="3" t="s">
        <v>680</v>
      </c>
      <c r="L50" s="3" t="s">
        <v>681</v>
      </c>
      <c r="M50" s="4" t="s">
        <v>0</v>
      </c>
      <c r="N50" s="3" t="s">
        <v>0</v>
      </c>
    </row>
    <row r="51" spans="1:14" x14ac:dyDescent="0.3">
      <c r="A51" s="1" t="s">
        <v>559</v>
      </c>
      <c r="B51" s="1" t="s">
        <v>38</v>
      </c>
      <c r="C51" s="2" t="s">
        <v>2</v>
      </c>
      <c r="D51" s="3" t="s">
        <v>685</v>
      </c>
      <c r="E51" s="4">
        <v>44990</v>
      </c>
      <c r="F51" s="4">
        <v>36411</v>
      </c>
      <c r="G51" s="4">
        <v>42990</v>
      </c>
      <c r="H51" s="4">
        <v>34793</v>
      </c>
      <c r="I51" s="4">
        <v>2000</v>
      </c>
      <c r="J51" s="4">
        <v>1618</v>
      </c>
      <c r="K51" s="3" t="s">
        <v>680</v>
      </c>
      <c r="L51" s="3" t="s">
        <v>681</v>
      </c>
      <c r="M51" s="4" t="s">
        <v>0</v>
      </c>
      <c r="N51" s="3" t="s">
        <v>0</v>
      </c>
    </row>
    <row r="52" spans="1:14" x14ac:dyDescent="0.3">
      <c r="A52" s="1" t="s">
        <v>559</v>
      </c>
      <c r="B52" s="1" t="s">
        <v>39</v>
      </c>
      <c r="C52" s="2" t="s">
        <v>2</v>
      </c>
      <c r="D52" s="3" t="s">
        <v>685</v>
      </c>
      <c r="E52" s="4">
        <v>44990</v>
      </c>
      <c r="F52" s="4">
        <v>36411</v>
      </c>
      <c r="G52" s="4">
        <v>42990</v>
      </c>
      <c r="H52" s="4">
        <v>34793</v>
      </c>
      <c r="I52" s="4">
        <v>2000</v>
      </c>
      <c r="J52" s="4">
        <v>1618</v>
      </c>
      <c r="K52" s="3" t="s">
        <v>680</v>
      </c>
      <c r="L52" s="3" t="s">
        <v>681</v>
      </c>
      <c r="M52" s="4" t="s">
        <v>0</v>
      </c>
      <c r="N52" s="3" t="s">
        <v>0</v>
      </c>
    </row>
    <row r="53" spans="1:14" x14ac:dyDescent="0.3">
      <c r="A53" s="8" t="s">
        <v>893</v>
      </c>
      <c r="B53" s="8" t="s">
        <v>819</v>
      </c>
      <c r="C53" s="8" t="s">
        <v>817</v>
      </c>
      <c r="D53" s="3" t="s">
        <v>952</v>
      </c>
      <c r="G53" s="4">
        <v>44000</v>
      </c>
      <c r="H53" s="4">
        <v>34119</v>
      </c>
      <c r="J53" s="4">
        <v>7881</v>
      </c>
      <c r="K53" s="3" t="str">
        <f>IFERROR(VLOOKUP(A53,[1]Sheet5!$C:$O,12,0),"00")</f>
        <v>01 - 29 MARCH</v>
      </c>
      <c r="L53" s="3" t="str">
        <f>IFERROR(VLOOKUP(A53,[1]Sheet5!$C:$O,13,0),"00")</f>
        <v>(NB20260315)_Mar_Sellout Support_RF _Asus_Select</v>
      </c>
    </row>
    <row r="54" spans="1:14" x14ac:dyDescent="0.3">
      <c r="A54" s="8" t="s">
        <v>892</v>
      </c>
      <c r="B54" s="8" t="s">
        <v>818</v>
      </c>
      <c r="C54" s="8" t="s">
        <v>815</v>
      </c>
      <c r="D54" s="3" t="s">
        <v>953</v>
      </c>
      <c r="G54" s="4">
        <v>44000</v>
      </c>
      <c r="H54" s="4">
        <v>34442</v>
      </c>
      <c r="J54" s="4">
        <v>567</v>
      </c>
      <c r="K54" s="3" t="str">
        <f>IFERROR(VLOOKUP(A54,[1]Sheet5!$C:$O,12,0),"00")</f>
        <v>01 - 29 MARCH</v>
      </c>
      <c r="L54" s="3" t="str">
        <f>IFERROR(VLOOKUP(A54,[1]Sheet5!$C:$O,13,0),"00")</f>
        <v>(NB20260315)_Mar_Sellout Support_RF _Asus_Select</v>
      </c>
    </row>
    <row r="55" spans="1:14" x14ac:dyDescent="0.3">
      <c r="A55" s="1" t="s">
        <v>655</v>
      </c>
      <c r="B55" s="1" t="s">
        <v>468</v>
      </c>
      <c r="C55" s="2" t="s">
        <v>666</v>
      </c>
      <c r="D55" s="3" t="s">
        <v>777</v>
      </c>
      <c r="E55" s="4">
        <v>50990</v>
      </c>
      <c r="F55" s="4">
        <v>41267</v>
      </c>
      <c r="G55" s="4">
        <v>45890</v>
      </c>
      <c r="H55" s="4">
        <v>37140</v>
      </c>
      <c r="I55" s="4">
        <v>5100</v>
      </c>
      <c r="J55" s="4">
        <v>4127</v>
      </c>
      <c r="K55" s="3" t="s">
        <v>677</v>
      </c>
      <c r="L55" s="3" t="s">
        <v>702</v>
      </c>
      <c r="M55" s="4" t="s">
        <v>0</v>
      </c>
      <c r="N55" s="3" t="s">
        <v>0</v>
      </c>
    </row>
    <row r="56" spans="1:14" x14ac:dyDescent="0.3">
      <c r="A56" s="1" t="s">
        <v>650</v>
      </c>
      <c r="B56" s="1" t="s">
        <v>448</v>
      </c>
      <c r="C56" s="2" t="s">
        <v>667</v>
      </c>
      <c r="D56" s="3" t="s">
        <v>772</v>
      </c>
      <c r="E56" s="4">
        <v>48990</v>
      </c>
      <c r="F56" s="4">
        <v>39649</v>
      </c>
      <c r="G56" s="4">
        <v>46990</v>
      </c>
      <c r="H56" s="4">
        <v>38030</v>
      </c>
      <c r="I56" s="4">
        <v>2000</v>
      </c>
      <c r="J56" s="4">
        <v>1619</v>
      </c>
      <c r="K56" s="3" t="s">
        <v>680</v>
      </c>
      <c r="L56" s="3" t="s">
        <v>681</v>
      </c>
      <c r="M56" s="4" t="s">
        <v>0</v>
      </c>
      <c r="N56" s="3" t="s">
        <v>0</v>
      </c>
    </row>
    <row r="57" spans="1:14" x14ac:dyDescent="0.3">
      <c r="A57" s="1" t="s">
        <v>649</v>
      </c>
      <c r="B57" s="1" t="s">
        <v>444</v>
      </c>
      <c r="C57" s="2" t="s">
        <v>2</v>
      </c>
      <c r="D57" s="3" t="s">
        <v>771</v>
      </c>
      <c r="E57" s="4">
        <v>48990</v>
      </c>
      <c r="F57" s="4">
        <v>39649</v>
      </c>
      <c r="G57" s="4">
        <v>46990</v>
      </c>
      <c r="H57" s="4">
        <v>38030</v>
      </c>
      <c r="I57" s="4">
        <v>2000</v>
      </c>
      <c r="J57" s="4">
        <v>1619</v>
      </c>
      <c r="K57" s="3" t="s">
        <v>680</v>
      </c>
      <c r="L57" s="3" t="s">
        <v>681</v>
      </c>
      <c r="M57" s="4" t="s">
        <v>0</v>
      </c>
      <c r="N57" s="3" t="s">
        <v>0</v>
      </c>
    </row>
    <row r="58" spans="1:14" x14ac:dyDescent="0.3">
      <c r="A58" s="1" t="s">
        <v>649</v>
      </c>
      <c r="B58" s="1" t="s">
        <v>445</v>
      </c>
      <c r="C58" s="2" t="s">
        <v>31</v>
      </c>
      <c r="D58" s="3" t="s">
        <v>771</v>
      </c>
      <c r="E58" s="4">
        <v>48990</v>
      </c>
      <c r="F58" s="4">
        <v>39649</v>
      </c>
      <c r="G58" s="4">
        <v>46990</v>
      </c>
      <c r="H58" s="4">
        <v>38030</v>
      </c>
      <c r="I58" s="4">
        <v>2000</v>
      </c>
      <c r="J58" s="4">
        <v>1619</v>
      </c>
      <c r="K58" s="3" t="s">
        <v>680</v>
      </c>
      <c r="L58" s="3" t="s">
        <v>681</v>
      </c>
      <c r="M58" s="4" t="s">
        <v>0</v>
      </c>
      <c r="N58" s="3" t="s">
        <v>0</v>
      </c>
    </row>
    <row r="59" spans="1:14" x14ac:dyDescent="0.3">
      <c r="A59" s="1" t="s">
        <v>649</v>
      </c>
      <c r="B59" s="1" t="s">
        <v>446</v>
      </c>
      <c r="C59" s="2" t="s">
        <v>2</v>
      </c>
      <c r="D59" s="3" t="s">
        <v>771</v>
      </c>
      <c r="E59" s="4">
        <v>48990</v>
      </c>
      <c r="F59" s="4">
        <v>39649</v>
      </c>
      <c r="G59" s="4">
        <v>46990</v>
      </c>
      <c r="H59" s="4">
        <v>38030</v>
      </c>
      <c r="I59" s="4">
        <v>2000</v>
      </c>
      <c r="J59" s="4">
        <v>1619</v>
      </c>
      <c r="K59" s="3" t="s">
        <v>680</v>
      </c>
      <c r="L59" s="3" t="s">
        <v>681</v>
      </c>
      <c r="M59" s="4" t="s">
        <v>0</v>
      </c>
      <c r="N59" s="3" t="s">
        <v>0</v>
      </c>
    </row>
    <row r="60" spans="1:14" x14ac:dyDescent="0.3">
      <c r="A60" s="1" t="s">
        <v>649</v>
      </c>
      <c r="B60" s="1" t="s">
        <v>447</v>
      </c>
      <c r="C60" s="2" t="s">
        <v>31</v>
      </c>
      <c r="D60" s="3" t="s">
        <v>771</v>
      </c>
      <c r="E60" s="4">
        <v>48990</v>
      </c>
      <c r="F60" s="4">
        <v>39649</v>
      </c>
      <c r="G60" s="4">
        <v>46990</v>
      </c>
      <c r="H60" s="4">
        <v>38030</v>
      </c>
      <c r="I60" s="4">
        <v>2000</v>
      </c>
      <c r="J60" s="4">
        <v>1619</v>
      </c>
      <c r="K60" s="3" t="s">
        <v>680</v>
      </c>
      <c r="L60" s="3" t="s">
        <v>681</v>
      </c>
      <c r="M60" s="4" t="s">
        <v>0</v>
      </c>
      <c r="N60" s="3" t="s">
        <v>0</v>
      </c>
    </row>
    <row r="61" spans="1:14" x14ac:dyDescent="0.3">
      <c r="A61" s="1" t="s">
        <v>651</v>
      </c>
      <c r="B61" s="1" t="s">
        <v>449</v>
      </c>
      <c r="C61" s="2" t="s">
        <v>11</v>
      </c>
      <c r="D61" s="3" t="s">
        <v>773</v>
      </c>
      <c r="E61" s="4">
        <v>48990</v>
      </c>
      <c r="F61" s="4">
        <v>39649</v>
      </c>
      <c r="G61" s="4">
        <v>46990</v>
      </c>
      <c r="H61" s="4">
        <v>38030</v>
      </c>
      <c r="I61" s="4">
        <v>2000</v>
      </c>
      <c r="J61" s="4">
        <v>1619</v>
      </c>
      <c r="K61" s="3" t="s">
        <v>680</v>
      </c>
      <c r="L61" s="3" t="s">
        <v>681</v>
      </c>
      <c r="M61" s="4" t="s">
        <v>0</v>
      </c>
      <c r="N61" s="3" t="s">
        <v>0</v>
      </c>
    </row>
    <row r="62" spans="1:14" x14ac:dyDescent="0.3">
      <c r="A62" s="1" t="s">
        <v>651</v>
      </c>
      <c r="B62" s="1" t="s">
        <v>450</v>
      </c>
      <c r="C62" s="2" t="s">
        <v>16</v>
      </c>
      <c r="D62" s="3" t="s">
        <v>773</v>
      </c>
      <c r="E62" s="4">
        <v>48990</v>
      </c>
      <c r="F62" s="4">
        <v>39649</v>
      </c>
      <c r="G62" s="4">
        <v>46990</v>
      </c>
      <c r="H62" s="4">
        <v>38030</v>
      </c>
      <c r="I62" s="4">
        <v>2000</v>
      </c>
      <c r="J62" s="4">
        <v>1619</v>
      </c>
      <c r="K62" s="3" t="s">
        <v>680</v>
      </c>
      <c r="L62" s="3" t="s">
        <v>681</v>
      </c>
      <c r="M62" s="4" t="s">
        <v>0</v>
      </c>
      <c r="N62" s="3" t="s">
        <v>0</v>
      </c>
    </row>
    <row r="63" spans="1:14" x14ac:dyDescent="0.3">
      <c r="A63" s="1" t="s">
        <v>651</v>
      </c>
      <c r="B63" s="1" t="s">
        <v>451</v>
      </c>
      <c r="C63" s="2" t="s">
        <v>54</v>
      </c>
      <c r="D63" s="3" t="s">
        <v>773</v>
      </c>
      <c r="E63" s="4">
        <v>48990</v>
      </c>
      <c r="F63" s="4">
        <v>39649</v>
      </c>
      <c r="G63" s="4">
        <v>46990</v>
      </c>
      <c r="H63" s="4">
        <v>38030</v>
      </c>
      <c r="I63" s="4">
        <v>2000</v>
      </c>
      <c r="J63" s="4">
        <v>1619</v>
      </c>
      <c r="K63" s="3" t="s">
        <v>680</v>
      </c>
      <c r="L63" s="3" t="s">
        <v>681</v>
      </c>
      <c r="M63" s="4" t="s">
        <v>0</v>
      </c>
      <c r="N63" s="3" t="s">
        <v>0</v>
      </c>
    </row>
    <row r="64" spans="1:14" x14ac:dyDescent="0.3">
      <c r="A64" s="1" t="s">
        <v>651</v>
      </c>
      <c r="B64" s="1" t="s">
        <v>452</v>
      </c>
      <c r="C64" s="2" t="s">
        <v>22</v>
      </c>
      <c r="D64" s="3" t="s">
        <v>773</v>
      </c>
      <c r="E64" s="4">
        <v>48990</v>
      </c>
      <c r="F64" s="4">
        <v>39649</v>
      </c>
      <c r="G64" s="4">
        <v>46990</v>
      </c>
      <c r="H64" s="4">
        <v>38030</v>
      </c>
      <c r="I64" s="4">
        <v>2000</v>
      </c>
      <c r="J64" s="4">
        <v>1619</v>
      </c>
      <c r="K64" s="3" t="s">
        <v>680</v>
      </c>
      <c r="L64" s="3" t="s">
        <v>681</v>
      </c>
      <c r="M64" s="4" t="s">
        <v>0</v>
      </c>
      <c r="N64" s="3" t="s">
        <v>0</v>
      </c>
    </row>
    <row r="65" spans="1:14" x14ac:dyDescent="0.3">
      <c r="A65" s="1" t="s">
        <v>651</v>
      </c>
      <c r="B65" s="1" t="s">
        <v>453</v>
      </c>
      <c r="C65" s="2" t="s">
        <v>51</v>
      </c>
      <c r="D65" s="3" t="s">
        <v>773</v>
      </c>
      <c r="E65" s="4">
        <v>48990</v>
      </c>
      <c r="F65" s="4">
        <v>39649</v>
      </c>
      <c r="G65" s="4">
        <v>46990</v>
      </c>
      <c r="H65" s="4">
        <v>38030</v>
      </c>
      <c r="I65" s="4">
        <v>2000</v>
      </c>
      <c r="J65" s="4">
        <v>1619</v>
      </c>
      <c r="K65" s="3" t="s">
        <v>680</v>
      </c>
      <c r="L65" s="3" t="s">
        <v>681</v>
      </c>
      <c r="M65" s="4" t="s">
        <v>0</v>
      </c>
      <c r="N65" s="3" t="s">
        <v>0</v>
      </c>
    </row>
    <row r="66" spans="1:14" x14ac:dyDescent="0.3">
      <c r="A66" s="1" t="s">
        <v>651</v>
      </c>
      <c r="B66" s="1" t="s">
        <v>454</v>
      </c>
      <c r="C66" s="2" t="s">
        <v>666</v>
      </c>
      <c r="D66" s="3" t="s">
        <v>773</v>
      </c>
      <c r="E66" s="4">
        <v>48990</v>
      </c>
      <c r="F66" s="4">
        <v>39649</v>
      </c>
      <c r="G66" s="4">
        <v>46990</v>
      </c>
      <c r="H66" s="4">
        <v>38030</v>
      </c>
      <c r="I66" s="4">
        <v>2000</v>
      </c>
      <c r="J66" s="4">
        <v>1619</v>
      </c>
      <c r="K66" s="3" t="s">
        <v>680</v>
      </c>
      <c r="L66" s="3" t="s">
        <v>681</v>
      </c>
      <c r="M66" s="4" t="s">
        <v>0</v>
      </c>
      <c r="N66" s="3" t="s">
        <v>0</v>
      </c>
    </row>
    <row r="67" spans="1:14" x14ac:dyDescent="0.3">
      <c r="A67" s="1" t="s">
        <v>651</v>
      </c>
      <c r="B67" s="1" t="s">
        <v>455</v>
      </c>
      <c r="C67" s="2" t="s">
        <v>2</v>
      </c>
      <c r="D67" s="3" t="s">
        <v>773</v>
      </c>
      <c r="E67" s="4">
        <v>48990</v>
      </c>
      <c r="F67" s="4">
        <v>39649</v>
      </c>
      <c r="G67" s="4">
        <v>46990</v>
      </c>
      <c r="H67" s="4">
        <v>38030</v>
      </c>
      <c r="I67" s="4">
        <v>2000</v>
      </c>
      <c r="J67" s="4">
        <v>1619</v>
      </c>
      <c r="K67" s="3" t="s">
        <v>680</v>
      </c>
      <c r="L67" s="3" t="s">
        <v>681</v>
      </c>
      <c r="M67" s="4" t="s">
        <v>0</v>
      </c>
      <c r="N67" s="3" t="s">
        <v>0</v>
      </c>
    </row>
    <row r="68" spans="1:14" x14ac:dyDescent="0.3">
      <c r="A68" s="1" t="s">
        <v>651</v>
      </c>
      <c r="B68" s="1" t="s">
        <v>456</v>
      </c>
      <c r="C68" s="2" t="s">
        <v>4</v>
      </c>
      <c r="D68" s="3" t="s">
        <v>773</v>
      </c>
      <c r="E68" s="4">
        <v>48990</v>
      </c>
      <c r="F68" s="4">
        <v>39649</v>
      </c>
      <c r="G68" s="4">
        <v>46990</v>
      </c>
      <c r="H68" s="4">
        <v>38030</v>
      </c>
      <c r="I68" s="4">
        <v>2000</v>
      </c>
      <c r="J68" s="4">
        <v>1619</v>
      </c>
      <c r="K68" s="3" t="s">
        <v>680</v>
      </c>
      <c r="L68" s="3" t="s">
        <v>681</v>
      </c>
      <c r="M68" s="4" t="s">
        <v>0</v>
      </c>
      <c r="N68" s="3" t="s">
        <v>0</v>
      </c>
    </row>
    <row r="69" spans="1:14" x14ac:dyDescent="0.3">
      <c r="A69" s="1" t="s">
        <v>651</v>
      </c>
      <c r="B69" s="1" t="s">
        <v>457</v>
      </c>
      <c r="C69" s="2" t="s">
        <v>67</v>
      </c>
      <c r="D69" s="3" t="s">
        <v>773</v>
      </c>
      <c r="E69" s="4">
        <v>48990</v>
      </c>
      <c r="F69" s="4">
        <v>39649</v>
      </c>
      <c r="G69" s="4">
        <v>46990</v>
      </c>
      <c r="H69" s="4">
        <v>38030</v>
      </c>
      <c r="I69" s="4">
        <v>2000</v>
      </c>
      <c r="J69" s="4">
        <v>1619</v>
      </c>
      <c r="K69" s="3" t="s">
        <v>680</v>
      </c>
      <c r="L69" s="3" t="s">
        <v>681</v>
      </c>
      <c r="M69" s="4" t="s">
        <v>0</v>
      </c>
      <c r="N69" s="3" t="s">
        <v>0</v>
      </c>
    </row>
    <row r="70" spans="1:14" x14ac:dyDescent="0.3">
      <c r="A70" s="1" t="s">
        <v>651</v>
      </c>
      <c r="B70" s="1" t="s">
        <v>458</v>
      </c>
      <c r="C70" s="2" t="s">
        <v>2</v>
      </c>
      <c r="D70" s="3" t="s">
        <v>773</v>
      </c>
      <c r="E70" s="4">
        <v>48990</v>
      </c>
      <c r="F70" s="4">
        <v>39649</v>
      </c>
      <c r="G70" s="4">
        <v>46990</v>
      </c>
      <c r="H70" s="4">
        <v>38030</v>
      </c>
      <c r="I70" s="4">
        <v>2000</v>
      </c>
      <c r="J70" s="4">
        <v>1619</v>
      </c>
      <c r="K70" s="3" t="s">
        <v>680</v>
      </c>
      <c r="L70" s="3" t="s">
        <v>681</v>
      </c>
      <c r="M70" s="4" t="s">
        <v>0</v>
      </c>
      <c r="N70" s="3" t="s">
        <v>0</v>
      </c>
    </row>
    <row r="71" spans="1:14" x14ac:dyDescent="0.3">
      <c r="A71" s="8" t="s">
        <v>894</v>
      </c>
      <c r="B71" s="8" t="s">
        <v>820</v>
      </c>
      <c r="C71" s="8" t="s">
        <v>815</v>
      </c>
      <c r="D71" s="3" t="s">
        <v>954</v>
      </c>
      <c r="G71" s="4">
        <v>47000</v>
      </c>
      <c r="H71" s="4">
        <v>37194</v>
      </c>
      <c r="J71" s="4">
        <v>6232</v>
      </c>
      <c r="K71" s="3" t="str">
        <f>IFERROR(VLOOKUP(A71,[1]Sheet5!$C:$O,12,0),"00")</f>
        <v>01 - 29 MARCH</v>
      </c>
      <c r="L71" s="3" t="str">
        <f>IFERROR(VLOOKUP(A71,[1]Sheet5!$C:$O,13,0),"00")</f>
        <v>(NB20260315)_Mar_Sellout Support_RF _Asus_Select</v>
      </c>
    </row>
    <row r="72" spans="1:14" x14ac:dyDescent="0.3">
      <c r="A72" s="8" t="s">
        <v>895</v>
      </c>
      <c r="B72" s="8" t="s">
        <v>821</v>
      </c>
      <c r="C72" s="8" t="s">
        <v>822</v>
      </c>
      <c r="D72" s="3" t="s">
        <v>944</v>
      </c>
      <c r="G72" s="4">
        <v>48000</v>
      </c>
      <c r="H72" s="4">
        <v>700</v>
      </c>
      <c r="J72" s="4" t="s">
        <v>941</v>
      </c>
      <c r="K72" s="3" t="s">
        <v>677</v>
      </c>
      <c r="L72" s="3" t="s">
        <v>784</v>
      </c>
    </row>
    <row r="73" spans="1:14" x14ac:dyDescent="0.3">
      <c r="A73" s="1" t="s">
        <v>551</v>
      </c>
      <c r="B73" s="1" t="s">
        <v>525</v>
      </c>
      <c r="C73" s="2" t="s">
        <v>18</v>
      </c>
      <c r="D73" s="3" t="s">
        <v>785</v>
      </c>
      <c r="E73" s="4" t="s">
        <v>0</v>
      </c>
      <c r="F73" s="4" t="s">
        <v>0</v>
      </c>
      <c r="G73" s="4">
        <v>48990</v>
      </c>
      <c r="H73" s="4">
        <v>39649</v>
      </c>
      <c r="I73" s="4" t="s">
        <v>0</v>
      </c>
      <c r="J73" s="4" t="s">
        <v>0</v>
      </c>
      <c r="K73" s="3" t="s">
        <v>677</v>
      </c>
      <c r="L73" s="3" t="s">
        <v>784</v>
      </c>
      <c r="M73" s="4" t="s">
        <v>0</v>
      </c>
      <c r="N73" s="3" t="s">
        <v>0</v>
      </c>
    </row>
    <row r="74" spans="1:14" x14ac:dyDescent="0.3">
      <c r="A74" s="8" t="s">
        <v>896</v>
      </c>
      <c r="B74" s="8" t="s">
        <v>823</v>
      </c>
      <c r="C74" s="8" t="s">
        <v>815</v>
      </c>
      <c r="D74" s="3" t="s">
        <v>955</v>
      </c>
      <c r="G74" s="4">
        <v>49000</v>
      </c>
      <c r="H74" s="4">
        <v>37922</v>
      </c>
      <c r="J74" s="4">
        <v>2266</v>
      </c>
      <c r="K74" s="3" t="str">
        <f>IFERROR(VLOOKUP(A74,[1]Sheet5!$C:$O,12,0),"00")</f>
        <v>01 - 29 MARCH</v>
      </c>
      <c r="L74" s="3" t="str">
        <f>IFERROR(VLOOKUP(A74,[1]Sheet5!$C:$O,13,0),"00")</f>
        <v>(NB20260315)_Mar_Sellout Support_RF _Asus_Select</v>
      </c>
    </row>
    <row r="75" spans="1:14" x14ac:dyDescent="0.3">
      <c r="A75" s="1" t="s">
        <v>543</v>
      </c>
      <c r="B75" s="1" t="s">
        <v>507</v>
      </c>
      <c r="C75" s="2" t="s">
        <v>54</v>
      </c>
      <c r="D75" s="3" t="s">
        <v>756</v>
      </c>
      <c r="E75" s="4">
        <v>50490</v>
      </c>
      <c r="F75" s="4">
        <v>40863</v>
      </c>
      <c r="G75" s="4">
        <v>49490</v>
      </c>
      <c r="H75" s="4">
        <v>40053</v>
      </c>
      <c r="I75" s="4">
        <v>1000</v>
      </c>
      <c r="J75" s="4">
        <v>810</v>
      </c>
      <c r="K75" s="3" t="s">
        <v>680</v>
      </c>
      <c r="L75" s="3" t="s">
        <v>757</v>
      </c>
      <c r="M75" s="4">
        <v>1000</v>
      </c>
      <c r="N75" s="3" t="s">
        <v>942</v>
      </c>
    </row>
    <row r="76" spans="1:14" x14ac:dyDescent="0.3">
      <c r="A76" s="1" t="s">
        <v>543</v>
      </c>
      <c r="B76" s="1" t="s">
        <v>508</v>
      </c>
      <c r="C76" s="2" t="s">
        <v>51</v>
      </c>
      <c r="D76" s="3" t="s">
        <v>756</v>
      </c>
      <c r="E76" s="4">
        <v>50490</v>
      </c>
      <c r="F76" s="4">
        <v>40863</v>
      </c>
      <c r="G76" s="4">
        <v>49490</v>
      </c>
      <c r="H76" s="4">
        <v>40053</v>
      </c>
      <c r="I76" s="4">
        <v>1000</v>
      </c>
      <c r="J76" s="4">
        <v>810</v>
      </c>
      <c r="K76" s="3" t="s">
        <v>680</v>
      </c>
      <c r="L76" s="3" t="s">
        <v>757</v>
      </c>
      <c r="M76" s="4">
        <v>1000</v>
      </c>
      <c r="N76" s="3" t="s">
        <v>942</v>
      </c>
    </row>
    <row r="77" spans="1:14" x14ac:dyDescent="0.3">
      <c r="A77" s="8" t="s">
        <v>897</v>
      </c>
      <c r="B77" s="8" t="s">
        <v>824</v>
      </c>
      <c r="C77" s="8" t="s">
        <v>817</v>
      </c>
      <c r="D77" s="3" t="s">
        <v>778</v>
      </c>
      <c r="G77" s="4">
        <v>50000</v>
      </c>
      <c r="H77" s="4">
        <v>38974</v>
      </c>
      <c r="J77" s="4">
        <v>567</v>
      </c>
      <c r="K77" s="3" t="str">
        <f>IFERROR(VLOOKUP(A77,[1]Sheet5!$C:$O,12,0),"00")</f>
        <v>01 - 29 MARCH</v>
      </c>
      <c r="L77" s="3" t="str">
        <f>IFERROR(VLOOKUP(A77,[1]Sheet5!$C:$O,13,0),"00")</f>
        <v>(NB20260315)_Mar_Sellout Support_RF _Asus_Select</v>
      </c>
    </row>
    <row r="78" spans="1:14" x14ac:dyDescent="0.3">
      <c r="A78" s="8" t="s">
        <v>897</v>
      </c>
      <c r="B78" s="8" t="s">
        <v>825</v>
      </c>
      <c r="C78" s="8" t="s">
        <v>815</v>
      </c>
      <c r="D78" s="3" t="s">
        <v>778</v>
      </c>
      <c r="G78" s="4">
        <v>50000</v>
      </c>
      <c r="H78" s="4">
        <v>38974</v>
      </c>
      <c r="J78" s="4">
        <v>567</v>
      </c>
      <c r="K78" s="3" t="str">
        <f>IFERROR(VLOOKUP(A78,[1]Sheet5!$C:$O,12,0),"00")</f>
        <v>01 - 29 MARCH</v>
      </c>
      <c r="L78" s="3" t="str">
        <f>IFERROR(VLOOKUP(A78,[1]Sheet5!$C:$O,13,0),"00")</f>
        <v>(NB20260315)_Mar_Sellout Support_RF _Asus_Select</v>
      </c>
    </row>
    <row r="79" spans="1:14" x14ac:dyDescent="0.3">
      <c r="A79" s="8" t="s">
        <v>897</v>
      </c>
      <c r="B79" s="8" t="s">
        <v>826</v>
      </c>
      <c r="C79" s="8" t="s">
        <v>815</v>
      </c>
      <c r="D79" s="3" t="s">
        <v>778</v>
      </c>
      <c r="G79" s="4">
        <v>50000</v>
      </c>
      <c r="H79" s="4">
        <v>38974</v>
      </c>
      <c r="J79" s="4">
        <v>567</v>
      </c>
      <c r="K79" s="3" t="str">
        <f>IFERROR(VLOOKUP(A79,[1]Sheet5!$C:$O,12,0),"00")</f>
        <v>01 - 29 MARCH</v>
      </c>
      <c r="L79" s="3" t="str">
        <f>IFERROR(VLOOKUP(A79,[1]Sheet5!$C:$O,13,0),"00")</f>
        <v>(NB20260315)_Mar_Sellout Support_RF _Asus_Select</v>
      </c>
    </row>
    <row r="80" spans="1:14" x14ac:dyDescent="0.3">
      <c r="A80" s="8" t="s">
        <v>897</v>
      </c>
      <c r="B80" s="8" t="s">
        <v>829</v>
      </c>
      <c r="C80" s="8" t="s">
        <v>815</v>
      </c>
      <c r="D80" s="3" t="s">
        <v>778</v>
      </c>
      <c r="G80" s="4">
        <v>50000</v>
      </c>
      <c r="H80" s="4">
        <v>38974</v>
      </c>
      <c r="J80" s="4">
        <v>567</v>
      </c>
      <c r="K80" s="3" t="str">
        <f>IFERROR(VLOOKUP(A80,[1]Sheet5!$C:$O,12,0),"00")</f>
        <v>01 - 29 MARCH</v>
      </c>
      <c r="L80" s="3" t="str">
        <f>IFERROR(VLOOKUP(A80,[1]Sheet5!$C:$O,13,0),"00")</f>
        <v>(NB20260315)_Mar_Sellout Support_RF _Asus_Select</v>
      </c>
    </row>
    <row r="81" spans="1:14" x14ac:dyDescent="0.3">
      <c r="A81" s="1" t="s">
        <v>544</v>
      </c>
      <c r="B81" s="1" t="s">
        <v>509</v>
      </c>
      <c r="C81" s="2" t="s">
        <v>16</v>
      </c>
      <c r="D81" s="3" t="s">
        <v>758</v>
      </c>
      <c r="E81" s="4">
        <v>51990</v>
      </c>
      <c r="F81" s="4">
        <v>42077</v>
      </c>
      <c r="G81" s="4">
        <v>50990</v>
      </c>
      <c r="H81" s="4">
        <v>41267</v>
      </c>
      <c r="I81" s="4">
        <v>1000</v>
      </c>
      <c r="J81" s="4">
        <v>810</v>
      </c>
      <c r="K81" s="3" t="s">
        <v>680</v>
      </c>
      <c r="L81" s="3" t="s">
        <v>757</v>
      </c>
      <c r="M81" s="4" t="s">
        <v>0</v>
      </c>
      <c r="N81" s="3" t="s">
        <v>0</v>
      </c>
    </row>
    <row r="82" spans="1:14" x14ac:dyDescent="0.3">
      <c r="A82" s="1" t="s">
        <v>552</v>
      </c>
      <c r="B82" s="1" t="s">
        <v>526</v>
      </c>
      <c r="C82" s="2" t="s">
        <v>54</v>
      </c>
      <c r="D82" s="3" t="s">
        <v>786</v>
      </c>
      <c r="E82" s="4" t="s">
        <v>0</v>
      </c>
      <c r="F82" s="4" t="s">
        <v>0</v>
      </c>
      <c r="G82" s="4">
        <v>50990</v>
      </c>
      <c r="H82" s="4">
        <v>41267</v>
      </c>
      <c r="I82" s="4" t="s">
        <v>0</v>
      </c>
      <c r="J82" s="4" t="s">
        <v>0</v>
      </c>
      <c r="K82" s="3" t="s">
        <v>677</v>
      </c>
      <c r="L82" s="3" t="s">
        <v>784</v>
      </c>
      <c r="M82" s="4" t="s">
        <v>0</v>
      </c>
      <c r="N82" s="3" t="s">
        <v>0</v>
      </c>
    </row>
    <row r="83" spans="1:14" x14ac:dyDescent="0.3">
      <c r="A83" s="1" t="s">
        <v>547</v>
      </c>
      <c r="B83" s="1" t="s">
        <v>517</v>
      </c>
      <c r="C83" s="2" t="s">
        <v>2</v>
      </c>
      <c r="D83" s="3" t="s">
        <v>761</v>
      </c>
      <c r="E83" s="4">
        <v>53990</v>
      </c>
      <c r="F83" s="4">
        <v>43695</v>
      </c>
      <c r="G83" s="4">
        <v>52990</v>
      </c>
      <c r="H83" s="4">
        <v>42886</v>
      </c>
      <c r="I83" s="4">
        <v>1000</v>
      </c>
      <c r="J83" s="4">
        <v>809</v>
      </c>
      <c r="K83" s="3" t="s">
        <v>680</v>
      </c>
      <c r="L83" s="3" t="s">
        <v>757</v>
      </c>
      <c r="M83" s="4" t="s">
        <v>0</v>
      </c>
      <c r="N83" s="3" t="s">
        <v>0</v>
      </c>
    </row>
    <row r="84" spans="1:14" x14ac:dyDescent="0.3">
      <c r="A84" s="1" t="s">
        <v>547</v>
      </c>
      <c r="B84" s="1" t="s">
        <v>518</v>
      </c>
      <c r="C84" s="2" t="s">
        <v>11</v>
      </c>
      <c r="D84" s="3" t="s">
        <v>761</v>
      </c>
      <c r="E84" s="4">
        <v>53990</v>
      </c>
      <c r="F84" s="4">
        <v>43695</v>
      </c>
      <c r="G84" s="4">
        <v>52990</v>
      </c>
      <c r="H84" s="4">
        <v>42886</v>
      </c>
      <c r="I84" s="4">
        <v>1000</v>
      </c>
      <c r="J84" s="4">
        <v>809</v>
      </c>
      <c r="K84" s="3" t="s">
        <v>680</v>
      </c>
      <c r="L84" s="3" t="s">
        <v>757</v>
      </c>
      <c r="M84" s="4" t="s">
        <v>0</v>
      </c>
      <c r="N84" s="3" t="s">
        <v>0</v>
      </c>
    </row>
    <row r="85" spans="1:14" x14ac:dyDescent="0.3">
      <c r="A85" s="1" t="s">
        <v>541</v>
      </c>
      <c r="B85" s="1" t="s">
        <v>504</v>
      </c>
      <c r="C85" s="2" t="s">
        <v>13</v>
      </c>
      <c r="D85" s="3" t="s">
        <v>676</v>
      </c>
      <c r="E85" s="4">
        <v>58990</v>
      </c>
      <c r="F85" s="4">
        <v>47742</v>
      </c>
      <c r="G85" s="4">
        <v>52990</v>
      </c>
      <c r="H85" s="4">
        <v>42886</v>
      </c>
      <c r="I85" s="4">
        <v>6000</v>
      </c>
      <c r="J85" s="4">
        <v>4856</v>
      </c>
      <c r="K85" s="3" t="s">
        <v>677</v>
      </c>
      <c r="L85" s="3" t="s">
        <v>678</v>
      </c>
      <c r="M85" s="4" t="s">
        <v>0</v>
      </c>
      <c r="N85" s="3" t="s">
        <v>0</v>
      </c>
    </row>
    <row r="86" spans="1:14" x14ac:dyDescent="0.3">
      <c r="A86" s="8" t="s">
        <v>898</v>
      </c>
      <c r="B86" s="8" t="s">
        <v>827</v>
      </c>
      <c r="C86" s="8" t="s">
        <v>828</v>
      </c>
      <c r="D86" s="3" t="s">
        <v>781</v>
      </c>
      <c r="G86" s="4">
        <v>54000</v>
      </c>
      <c r="H86" s="4">
        <v>43830</v>
      </c>
      <c r="J86" s="4">
        <v>2833</v>
      </c>
      <c r="K86" s="3" t="str">
        <f>IFERROR(VLOOKUP(A86,[1]Sheet5!$C:$O,12,0),"00")</f>
        <v>01 - 29 MARCH</v>
      </c>
      <c r="L86" s="3" t="str">
        <f>IFERROR(VLOOKUP(A86,[1]Sheet5!$C:$O,13,0),"00")</f>
        <v>(NB20260315)_Mar_Sellout Support_RF _Asus_Select</v>
      </c>
    </row>
    <row r="87" spans="1:14" x14ac:dyDescent="0.3">
      <c r="A87" s="8" t="s">
        <v>903</v>
      </c>
      <c r="B87" s="8" t="s">
        <v>839</v>
      </c>
      <c r="C87" s="8" t="s">
        <v>815</v>
      </c>
      <c r="D87" s="3" t="s">
        <v>704</v>
      </c>
      <c r="G87" s="4">
        <v>54000</v>
      </c>
      <c r="H87" s="4">
        <v>41566</v>
      </c>
      <c r="J87" s="4">
        <v>5097</v>
      </c>
      <c r="K87" s="3" t="str">
        <f>IFERROR(VLOOKUP(A87,[1]Sheet5!$C:$O,12,0),"00")</f>
        <v>01 - 15 MARCH</v>
      </c>
      <c r="L87" s="3" t="str">
        <f>IFERROR(VLOOKUP(A87,[1]Sheet5!$C:$O,13,0),"00")</f>
        <v>(NB20260350)_Mar_Your Vibe Your Color Your Deal_Sellout Support_RF _Select Store_Creator</v>
      </c>
    </row>
    <row r="88" spans="1:14" x14ac:dyDescent="0.3">
      <c r="A88" s="8" t="s">
        <v>899</v>
      </c>
      <c r="B88" s="8" t="s">
        <v>830</v>
      </c>
      <c r="C88" s="8" t="s">
        <v>828</v>
      </c>
      <c r="D88" s="3" t="s">
        <v>779</v>
      </c>
      <c r="G88" s="4">
        <v>54500</v>
      </c>
      <c r="H88" s="4">
        <v>43021</v>
      </c>
      <c r="J88" s="4">
        <v>1700</v>
      </c>
      <c r="K88" s="3" t="str">
        <f>IFERROR(VLOOKUP(A88,[1]Sheet5!$C:$O,12,0),"00")</f>
        <v>01 - 29 MARCH</v>
      </c>
      <c r="L88" s="3" t="str">
        <f>IFERROR(VLOOKUP(A88,[1]Sheet5!$C:$O,13,0),"00")</f>
        <v>(NB20260315)_Mar_Sellout Support_RF _Asus_Select</v>
      </c>
    </row>
    <row r="89" spans="1:14" x14ac:dyDescent="0.3">
      <c r="A89" s="8" t="s">
        <v>899</v>
      </c>
      <c r="B89" s="8" t="s">
        <v>831</v>
      </c>
      <c r="C89" s="8" t="s">
        <v>815</v>
      </c>
      <c r="D89" s="3" t="s">
        <v>779</v>
      </c>
      <c r="G89" s="4">
        <v>54500</v>
      </c>
      <c r="H89" s="4">
        <v>43021</v>
      </c>
      <c r="J89" s="4">
        <v>1700</v>
      </c>
      <c r="K89" s="3" t="str">
        <f>IFERROR(VLOOKUP(A89,[1]Sheet5!$C:$O,12,0),"00")</f>
        <v>01 - 29 MARCH</v>
      </c>
      <c r="L89" s="3" t="str">
        <f>IFERROR(VLOOKUP(A89,[1]Sheet5!$C:$O,13,0),"00")</f>
        <v>(NB20260315)_Mar_Sellout Support_RF _Asus_Select</v>
      </c>
    </row>
    <row r="90" spans="1:14" x14ac:dyDescent="0.3">
      <c r="A90" s="8" t="s">
        <v>900</v>
      </c>
      <c r="B90" s="8" t="s">
        <v>832</v>
      </c>
      <c r="C90" s="8" t="s">
        <v>815</v>
      </c>
      <c r="D90" s="3" t="s">
        <v>957</v>
      </c>
      <c r="G90" s="4">
        <v>54500</v>
      </c>
      <c r="H90" s="4">
        <v>43264</v>
      </c>
      <c r="J90" s="4">
        <v>3399</v>
      </c>
      <c r="K90" s="3" t="str">
        <f>IFERROR(VLOOKUP(A90,[1]Sheet5!$C:$O,12,0),"00")</f>
        <v>01 - 29 MARCH</v>
      </c>
      <c r="L90" s="3" t="str">
        <f>IFERROR(VLOOKUP(A90,[1]Sheet5!$C:$O,13,0),"00")</f>
        <v>(NB20260315)_Mar_Sellout Support_RF _Asus_Select</v>
      </c>
    </row>
    <row r="91" spans="1:14" x14ac:dyDescent="0.3">
      <c r="A91" s="8" t="s">
        <v>904</v>
      </c>
      <c r="B91" s="8" t="s">
        <v>840</v>
      </c>
      <c r="C91" s="8" t="s">
        <v>815</v>
      </c>
      <c r="D91" s="3" t="s">
        <v>956</v>
      </c>
      <c r="G91" s="4">
        <v>55000</v>
      </c>
      <c r="H91" s="4">
        <v>41484</v>
      </c>
      <c r="J91" s="4">
        <v>4532</v>
      </c>
      <c r="K91" s="3" t="str">
        <f>IFERROR(VLOOKUP(A91,[1]Sheet5!$C:$O,12,0),"00")</f>
        <v>01 - 29 MARCH</v>
      </c>
      <c r="L91" s="3" t="str">
        <f>IFERROR(VLOOKUP(A91,[1]Sheet5!$C:$O,13,0),"00")</f>
        <v>(NB20260315)_Mar_Sellout Support_RF _Asus_Select</v>
      </c>
    </row>
    <row r="92" spans="1:14" x14ac:dyDescent="0.3">
      <c r="A92" s="8" t="s">
        <v>901</v>
      </c>
      <c r="B92" s="8" t="s">
        <v>833</v>
      </c>
      <c r="C92" s="8" t="s">
        <v>815</v>
      </c>
      <c r="D92" s="3" t="s">
        <v>729</v>
      </c>
      <c r="G92" s="4">
        <v>55000</v>
      </c>
      <c r="H92" s="4">
        <v>42374</v>
      </c>
      <c r="J92" s="4">
        <v>1699</v>
      </c>
      <c r="K92" s="3" t="str">
        <f>IFERROR(VLOOKUP(A92,[1]Sheet5!$C:$O,12,0),"00")</f>
        <v>01 - 29 MARCH</v>
      </c>
      <c r="L92" s="3" t="str">
        <f>IFERROR(VLOOKUP(A92,[1]Sheet5!$C:$O,13,0),"00")</f>
        <v>(NB20260315)_Mar_Sellout Support_RF _Asus_Select</v>
      </c>
    </row>
    <row r="93" spans="1:14" x14ac:dyDescent="0.3">
      <c r="A93" s="8" t="s">
        <v>901</v>
      </c>
      <c r="B93" s="8" t="s">
        <v>834</v>
      </c>
      <c r="C93" s="8" t="s">
        <v>815</v>
      </c>
      <c r="D93" s="3" t="s">
        <v>729</v>
      </c>
      <c r="G93" s="4">
        <v>55000</v>
      </c>
      <c r="H93" s="4">
        <v>42374</v>
      </c>
      <c r="J93" s="4">
        <v>1699</v>
      </c>
      <c r="K93" s="3" t="str">
        <f>IFERROR(VLOOKUP(A93,[1]Sheet5!$C:$O,12,0),"00")</f>
        <v>01 - 29 MARCH</v>
      </c>
      <c r="L93" s="3" t="str">
        <f>IFERROR(VLOOKUP(A93,[1]Sheet5!$C:$O,13,0),"00")</f>
        <v>(NB20260315)_Mar_Sellout Support_RF _Asus_Select</v>
      </c>
    </row>
    <row r="94" spans="1:14" x14ac:dyDescent="0.3">
      <c r="A94" s="8" t="s">
        <v>902</v>
      </c>
      <c r="B94" s="8" t="s">
        <v>835</v>
      </c>
      <c r="C94" s="8" t="s">
        <v>815</v>
      </c>
      <c r="D94" s="3" t="s">
        <v>730</v>
      </c>
      <c r="G94" s="4">
        <v>55000</v>
      </c>
      <c r="H94" s="4">
        <v>42374</v>
      </c>
      <c r="J94" s="4">
        <v>1699</v>
      </c>
      <c r="K94" s="3" t="str">
        <f>IFERROR(VLOOKUP(A94,[1]Sheet5!$C:$O,12,0),"00")</f>
        <v>01 - 29 MARCH</v>
      </c>
      <c r="L94" s="3" t="str">
        <f>IFERROR(VLOOKUP(A94,[1]Sheet5!$C:$O,13,0),"00")</f>
        <v>(NB20260315)_Mar_Sellout Support_RF _Asus_Select</v>
      </c>
    </row>
    <row r="95" spans="1:14" x14ac:dyDescent="0.3">
      <c r="A95" s="8" t="s">
        <v>902</v>
      </c>
      <c r="B95" s="8" t="s">
        <v>836</v>
      </c>
      <c r="C95" s="8" t="s">
        <v>817</v>
      </c>
      <c r="D95" s="3" t="s">
        <v>730</v>
      </c>
      <c r="G95" s="4">
        <v>55000</v>
      </c>
      <c r="H95" s="4">
        <v>42374</v>
      </c>
      <c r="J95" s="4">
        <v>1699</v>
      </c>
      <c r="K95" s="3" t="str">
        <f>IFERROR(VLOOKUP(A95,[1]Sheet5!$C:$O,12,0),"00")</f>
        <v>01 - 29 MARCH</v>
      </c>
      <c r="L95" s="3" t="str">
        <f>IFERROR(VLOOKUP(A95,[1]Sheet5!$C:$O,13,0),"00")</f>
        <v>(NB20260315)_Mar_Sellout Support_RF _Asus_Select</v>
      </c>
    </row>
    <row r="96" spans="1:14" x14ac:dyDescent="0.3">
      <c r="A96" s="8" t="s">
        <v>902</v>
      </c>
      <c r="B96" s="8" t="s">
        <v>837</v>
      </c>
      <c r="C96" s="8" t="s">
        <v>815</v>
      </c>
      <c r="D96" s="3" t="s">
        <v>730</v>
      </c>
      <c r="G96" s="4">
        <v>55000</v>
      </c>
      <c r="H96" s="4">
        <v>42374</v>
      </c>
      <c r="J96" s="4">
        <v>1699</v>
      </c>
      <c r="K96" s="3" t="str">
        <f>IFERROR(VLOOKUP(A96,[1]Sheet5!$C:$O,12,0),"00")</f>
        <v>01 - 29 MARCH</v>
      </c>
      <c r="L96" s="3" t="str">
        <f>IFERROR(VLOOKUP(A96,[1]Sheet5!$C:$O,13,0),"00")</f>
        <v>(NB20260315)_Mar_Sellout Support_RF _Asus_Select</v>
      </c>
    </row>
    <row r="97" spans="1:14" x14ac:dyDescent="0.3">
      <c r="A97" s="8" t="s">
        <v>902</v>
      </c>
      <c r="B97" s="8" t="s">
        <v>838</v>
      </c>
      <c r="C97" s="8" t="s">
        <v>815</v>
      </c>
      <c r="D97" s="3" t="s">
        <v>730</v>
      </c>
      <c r="G97" s="4">
        <v>55000</v>
      </c>
      <c r="H97" s="4">
        <v>42374</v>
      </c>
      <c r="J97" s="4">
        <v>1699</v>
      </c>
      <c r="K97" s="3" t="str">
        <f>IFERROR(VLOOKUP(A97,[1]Sheet5!$C:$O,12,0),"00")</f>
        <v>01 - 29 MARCH</v>
      </c>
      <c r="L97" s="3" t="str">
        <f>IFERROR(VLOOKUP(A97,[1]Sheet5!$C:$O,13,0),"00")</f>
        <v>(NB20260315)_Mar_Sellout Support_RF _Asus_Select</v>
      </c>
    </row>
    <row r="98" spans="1:14" x14ac:dyDescent="0.3">
      <c r="A98" s="1" t="s">
        <v>647</v>
      </c>
      <c r="B98" s="1" t="s">
        <v>438</v>
      </c>
      <c r="C98" s="2" t="s">
        <v>2</v>
      </c>
      <c r="D98" s="3" t="s">
        <v>769</v>
      </c>
      <c r="E98" s="4">
        <v>58990</v>
      </c>
      <c r="F98" s="4">
        <v>47742</v>
      </c>
      <c r="G98" s="4">
        <v>55990</v>
      </c>
      <c r="H98" s="4">
        <v>45314</v>
      </c>
      <c r="I98" s="4">
        <v>3000</v>
      </c>
      <c r="J98" s="4">
        <v>2428</v>
      </c>
      <c r="K98" s="3" t="s">
        <v>680</v>
      </c>
      <c r="L98" s="3" t="s">
        <v>681</v>
      </c>
      <c r="M98" s="4" t="s">
        <v>0</v>
      </c>
      <c r="N98" s="3" t="s">
        <v>0</v>
      </c>
    </row>
    <row r="99" spans="1:14" x14ac:dyDescent="0.3">
      <c r="A99" s="1" t="s">
        <v>647</v>
      </c>
      <c r="B99" s="1" t="s">
        <v>439</v>
      </c>
      <c r="C99" s="2" t="s">
        <v>31</v>
      </c>
      <c r="D99" s="3" t="s">
        <v>769</v>
      </c>
      <c r="E99" s="4">
        <v>58990</v>
      </c>
      <c r="F99" s="4">
        <v>47742</v>
      </c>
      <c r="G99" s="4">
        <v>55990</v>
      </c>
      <c r="H99" s="4">
        <v>45314</v>
      </c>
      <c r="I99" s="4">
        <v>3000</v>
      </c>
      <c r="J99" s="4">
        <v>2428</v>
      </c>
      <c r="K99" s="3" t="s">
        <v>680</v>
      </c>
      <c r="L99" s="3" t="s">
        <v>681</v>
      </c>
      <c r="M99" s="4" t="s">
        <v>0</v>
      </c>
      <c r="N99" s="3" t="s">
        <v>0</v>
      </c>
    </row>
    <row r="100" spans="1:14" x14ac:dyDescent="0.3">
      <c r="A100" s="1" t="s">
        <v>646</v>
      </c>
      <c r="B100" s="1" t="s">
        <v>430</v>
      </c>
      <c r="C100" s="2" t="s">
        <v>2</v>
      </c>
      <c r="D100" s="3" t="s">
        <v>768</v>
      </c>
      <c r="E100" s="4">
        <v>58990</v>
      </c>
      <c r="F100" s="4">
        <v>47742</v>
      </c>
      <c r="G100" s="4">
        <v>55990</v>
      </c>
      <c r="H100" s="4">
        <v>45314</v>
      </c>
      <c r="I100" s="4">
        <v>3000</v>
      </c>
      <c r="J100" s="4">
        <v>2428</v>
      </c>
      <c r="K100" s="3" t="s">
        <v>680</v>
      </c>
      <c r="L100" s="3" t="s">
        <v>681</v>
      </c>
      <c r="M100" s="4" t="s">
        <v>0</v>
      </c>
      <c r="N100" s="3" t="s">
        <v>0</v>
      </c>
    </row>
    <row r="101" spans="1:14" x14ac:dyDescent="0.3">
      <c r="A101" s="1" t="s">
        <v>646</v>
      </c>
      <c r="B101" s="1" t="s">
        <v>431</v>
      </c>
      <c r="C101" s="2" t="s">
        <v>2</v>
      </c>
      <c r="D101" s="3" t="s">
        <v>768</v>
      </c>
      <c r="E101" s="4">
        <v>58990</v>
      </c>
      <c r="F101" s="4">
        <v>47742</v>
      </c>
      <c r="G101" s="4">
        <v>55990</v>
      </c>
      <c r="H101" s="4">
        <v>45314</v>
      </c>
      <c r="I101" s="4">
        <v>3000</v>
      </c>
      <c r="J101" s="4">
        <v>2428</v>
      </c>
      <c r="K101" s="3" t="s">
        <v>680</v>
      </c>
      <c r="L101" s="3" t="s">
        <v>681</v>
      </c>
      <c r="M101" s="4" t="s">
        <v>0</v>
      </c>
      <c r="N101" s="3" t="s">
        <v>0</v>
      </c>
    </row>
    <row r="102" spans="1:14" x14ac:dyDescent="0.3">
      <c r="A102" s="1" t="s">
        <v>646</v>
      </c>
      <c r="B102" s="1" t="s">
        <v>432</v>
      </c>
      <c r="C102" s="2" t="s">
        <v>2</v>
      </c>
      <c r="D102" s="3" t="s">
        <v>768</v>
      </c>
      <c r="E102" s="4">
        <v>58990</v>
      </c>
      <c r="F102" s="4">
        <v>47742</v>
      </c>
      <c r="G102" s="4">
        <v>55990</v>
      </c>
      <c r="H102" s="4">
        <v>45314</v>
      </c>
      <c r="I102" s="4">
        <v>3000</v>
      </c>
      <c r="J102" s="4">
        <v>2428</v>
      </c>
      <c r="K102" s="3" t="s">
        <v>680</v>
      </c>
      <c r="L102" s="3" t="s">
        <v>681</v>
      </c>
      <c r="M102" s="4" t="s">
        <v>0</v>
      </c>
      <c r="N102" s="3" t="s">
        <v>0</v>
      </c>
    </row>
    <row r="103" spans="1:14" x14ac:dyDescent="0.3">
      <c r="A103" s="1" t="s">
        <v>646</v>
      </c>
      <c r="B103" s="1" t="s">
        <v>433</v>
      </c>
      <c r="C103" s="2" t="s">
        <v>2</v>
      </c>
      <c r="D103" s="3" t="s">
        <v>768</v>
      </c>
      <c r="E103" s="4">
        <v>58990</v>
      </c>
      <c r="F103" s="4">
        <v>47742</v>
      </c>
      <c r="G103" s="4">
        <v>55990</v>
      </c>
      <c r="H103" s="4">
        <v>45314</v>
      </c>
      <c r="I103" s="4">
        <v>3000</v>
      </c>
      <c r="J103" s="4">
        <v>2428</v>
      </c>
      <c r="K103" s="3" t="s">
        <v>680</v>
      </c>
      <c r="L103" s="3" t="s">
        <v>681</v>
      </c>
      <c r="M103" s="4" t="s">
        <v>0</v>
      </c>
      <c r="N103" s="3" t="s">
        <v>0</v>
      </c>
    </row>
    <row r="104" spans="1:14" x14ac:dyDescent="0.3">
      <c r="A104" s="1" t="s">
        <v>646</v>
      </c>
      <c r="B104" s="1" t="s">
        <v>434</v>
      </c>
      <c r="C104" s="2" t="s">
        <v>2</v>
      </c>
      <c r="D104" s="3" t="s">
        <v>768</v>
      </c>
      <c r="E104" s="4">
        <v>58990</v>
      </c>
      <c r="F104" s="4">
        <v>47742</v>
      </c>
      <c r="G104" s="4">
        <v>55990</v>
      </c>
      <c r="H104" s="4">
        <v>45314</v>
      </c>
      <c r="I104" s="4">
        <v>3000</v>
      </c>
      <c r="J104" s="4">
        <v>2428</v>
      </c>
      <c r="K104" s="3" t="s">
        <v>680</v>
      </c>
      <c r="L104" s="3" t="s">
        <v>681</v>
      </c>
      <c r="M104" s="4" t="s">
        <v>0</v>
      </c>
      <c r="N104" s="3" t="s">
        <v>0</v>
      </c>
    </row>
    <row r="105" spans="1:14" x14ac:dyDescent="0.3">
      <c r="A105" s="1" t="s">
        <v>646</v>
      </c>
      <c r="B105" s="1" t="s">
        <v>435</v>
      </c>
      <c r="C105" s="2" t="s">
        <v>2</v>
      </c>
      <c r="D105" s="3" t="s">
        <v>768</v>
      </c>
      <c r="E105" s="4">
        <v>58990</v>
      </c>
      <c r="F105" s="4">
        <v>47742</v>
      </c>
      <c r="G105" s="4">
        <v>55990</v>
      </c>
      <c r="H105" s="4">
        <v>45314</v>
      </c>
      <c r="I105" s="4">
        <v>3000</v>
      </c>
      <c r="J105" s="4">
        <v>2428</v>
      </c>
      <c r="K105" s="3" t="s">
        <v>680</v>
      </c>
      <c r="L105" s="3" t="s">
        <v>681</v>
      </c>
      <c r="M105" s="4" t="s">
        <v>0</v>
      </c>
      <c r="N105" s="3" t="s">
        <v>0</v>
      </c>
    </row>
    <row r="106" spans="1:14" x14ac:dyDescent="0.3">
      <c r="A106" s="1" t="s">
        <v>646</v>
      </c>
      <c r="B106" s="1" t="s">
        <v>436</v>
      </c>
      <c r="C106" s="2" t="s">
        <v>2</v>
      </c>
      <c r="D106" s="3" t="s">
        <v>768</v>
      </c>
      <c r="E106" s="4">
        <v>58990</v>
      </c>
      <c r="F106" s="4">
        <v>47742</v>
      </c>
      <c r="G106" s="4">
        <v>55990</v>
      </c>
      <c r="H106" s="4">
        <v>45314</v>
      </c>
      <c r="I106" s="4">
        <v>3000</v>
      </c>
      <c r="J106" s="4">
        <v>2428</v>
      </c>
      <c r="K106" s="3" t="s">
        <v>680</v>
      </c>
      <c r="L106" s="3" t="s">
        <v>681</v>
      </c>
      <c r="M106" s="4" t="s">
        <v>0</v>
      </c>
      <c r="N106" s="3" t="s">
        <v>0</v>
      </c>
    </row>
    <row r="107" spans="1:14" x14ac:dyDescent="0.3">
      <c r="A107" s="1" t="s">
        <v>646</v>
      </c>
      <c r="B107" s="1" t="s">
        <v>437</v>
      </c>
      <c r="C107" s="2" t="s">
        <v>31</v>
      </c>
      <c r="D107" s="3" t="s">
        <v>768</v>
      </c>
      <c r="E107" s="4">
        <v>58990</v>
      </c>
      <c r="F107" s="4">
        <v>47742</v>
      </c>
      <c r="G107" s="4">
        <v>55990</v>
      </c>
      <c r="H107" s="4">
        <v>45314</v>
      </c>
      <c r="I107" s="4">
        <v>3000</v>
      </c>
      <c r="J107" s="4">
        <v>2428</v>
      </c>
      <c r="K107" s="3" t="s">
        <v>680</v>
      </c>
      <c r="L107" s="3" t="s">
        <v>681</v>
      </c>
      <c r="M107" s="4" t="s">
        <v>0</v>
      </c>
      <c r="N107" s="3" t="s">
        <v>0</v>
      </c>
    </row>
    <row r="108" spans="1:14" x14ac:dyDescent="0.3">
      <c r="A108" s="1" t="s">
        <v>648</v>
      </c>
      <c r="B108" s="1" t="s">
        <v>440</v>
      </c>
      <c r="C108" s="2" t="s">
        <v>18</v>
      </c>
      <c r="D108" s="3" t="s">
        <v>770</v>
      </c>
      <c r="E108" s="4">
        <v>58990</v>
      </c>
      <c r="F108" s="4">
        <v>47742</v>
      </c>
      <c r="G108" s="4">
        <v>55990</v>
      </c>
      <c r="H108" s="4">
        <v>45314</v>
      </c>
      <c r="I108" s="4">
        <v>3000</v>
      </c>
      <c r="J108" s="4">
        <v>2428</v>
      </c>
      <c r="K108" s="3" t="s">
        <v>680</v>
      </c>
      <c r="L108" s="3" t="s">
        <v>681</v>
      </c>
      <c r="M108" s="4" t="s">
        <v>0</v>
      </c>
      <c r="N108" s="3" t="s">
        <v>0</v>
      </c>
    </row>
    <row r="109" spans="1:14" x14ac:dyDescent="0.3">
      <c r="A109" s="1" t="s">
        <v>648</v>
      </c>
      <c r="B109" s="1" t="s">
        <v>441</v>
      </c>
      <c r="C109" s="2" t="s">
        <v>2</v>
      </c>
      <c r="D109" s="3" t="s">
        <v>770</v>
      </c>
      <c r="E109" s="4">
        <v>58990</v>
      </c>
      <c r="F109" s="4">
        <v>47742</v>
      </c>
      <c r="G109" s="4">
        <v>55990</v>
      </c>
      <c r="H109" s="4">
        <v>45314</v>
      </c>
      <c r="I109" s="4">
        <v>3000</v>
      </c>
      <c r="J109" s="4">
        <v>2428</v>
      </c>
      <c r="K109" s="3" t="s">
        <v>680</v>
      </c>
      <c r="L109" s="3" t="s">
        <v>681</v>
      </c>
      <c r="M109" s="4" t="s">
        <v>0</v>
      </c>
      <c r="N109" s="3" t="s">
        <v>0</v>
      </c>
    </row>
    <row r="110" spans="1:14" x14ac:dyDescent="0.3">
      <c r="A110" s="1" t="s">
        <v>648</v>
      </c>
      <c r="B110" s="1" t="s">
        <v>442</v>
      </c>
      <c r="C110" s="2" t="s">
        <v>2</v>
      </c>
      <c r="D110" s="3" t="s">
        <v>770</v>
      </c>
      <c r="E110" s="4">
        <v>58990</v>
      </c>
      <c r="F110" s="4">
        <v>47742</v>
      </c>
      <c r="G110" s="4">
        <v>55990</v>
      </c>
      <c r="H110" s="4">
        <v>45314</v>
      </c>
      <c r="I110" s="4">
        <v>3000</v>
      </c>
      <c r="J110" s="4">
        <v>2428</v>
      </c>
      <c r="K110" s="3" t="s">
        <v>680</v>
      </c>
      <c r="L110" s="3" t="s">
        <v>681</v>
      </c>
      <c r="M110" s="4" t="s">
        <v>0</v>
      </c>
      <c r="N110" s="3" t="s">
        <v>0</v>
      </c>
    </row>
    <row r="111" spans="1:14" x14ac:dyDescent="0.3">
      <c r="A111" s="1" t="s">
        <v>648</v>
      </c>
      <c r="B111" s="1" t="s">
        <v>443</v>
      </c>
      <c r="C111" s="2" t="s">
        <v>2</v>
      </c>
      <c r="D111" s="3" t="s">
        <v>770</v>
      </c>
      <c r="E111" s="4">
        <v>58990</v>
      </c>
      <c r="F111" s="4">
        <v>47742</v>
      </c>
      <c r="G111" s="4">
        <v>55990</v>
      </c>
      <c r="H111" s="4">
        <v>45314</v>
      </c>
      <c r="I111" s="4">
        <v>3000</v>
      </c>
      <c r="J111" s="4">
        <v>2428</v>
      </c>
      <c r="K111" s="3" t="s">
        <v>680</v>
      </c>
      <c r="L111" s="3" t="s">
        <v>681</v>
      </c>
      <c r="M111" s="4" t="s">
        <v>0</v>
      </c>
      <c r="N111" s="3" t="s">
        <v>0</v>
      </c>
    </row>
    <row r="112" spans="1:14" x14ac:dyDescent="0.3">
      <c r="A112" s="1" t="s">
        <v>653</v>
      </c>
      <c r="B112" s="1" t="s">
        <v>464</v>
      </c>
      <c r="C112" s="2" t="s">
        <v>2</v>
      </c>
      <c r="D112" s="3" t="s">
        <v>775</v>
      </c>
      <c r="E112" s="4">
        <v>58990</v>
      </c>
      <c r="F112" s="4">
        <v>47742</v>
      </c>
      <c r="G112" s="4">
        <v>55990</v>
      </c>
      <c r="H112" s="4">
        <v>45314</v>
      </c>
      <c r="I112" s="4">
        <v>3000</v>
      </c>
      <c r="J112" s="4">
        <v>2428</v>
      </c>
      <c r="K112" s="3" t="s">
        <v>680</v>
      </c>
      <c r="L112" s="3" t="s">
        <v>681</v>
      </c>
      <c r="M112" s="4" t="s">
        <v>0</v>
      </c>
      <c r="N112" s="3" t="s">
        <v>0</v>
      </c>
    </row>
    <row r="113" spans="1:14" x14ac:dyDescent="0.3">
      <c r="A113" s="1" t="s">
        <v>654</v>
      </c>
      <c r="B113" s="1" t="s">
        <v>465</v>
      </c>
      <c r="C113" s="2" t="s">
        <v>466</v>
      </c>
      <c r="D113" s="3" t="s">
        <v>776</v>
      </c>
      <c r="E113" s="4">
        <v>58990</v>
      </c>
      <c r="F113" s="4">
        <v>47742</v>
      </c>
      <c r="G113" s="4">
        <v>55990</v>
      </c>
      <c r="H113" s="4">
        <v>45314</v>
      </c>
      <c r="I113" s="4">
        <v>3000</v>
      </c>
      <c r="J113" s="4">
        <v>2428</v>
      </c>
      <c r="K113" s="3" t="s">
        <v>680</v>
      </c>
      <c r="L113" s="3" t="s">
        <v>681</v>
      </c>
      <c r="M113" s="4" t="s">
        <v>0</v>
      </c>
      <c r="N113" s="3" t="s">
        <v>0</v>
      </c>
    </row>
    <row r="114" spans="1:14" x14ac:dyDescent="0.3">
      <c r="A114" s="1" t="s">
        <v>654</v>
      </c>
      <c r="B114" s="1" t="s">
        <v>467</v>
      </c>
      <c r="C114" s="2" t="s">
        <v>2</v>
      </c>
      <c r="D114" s="3" t="s">
        <v>776</v>
      </c>
      <c r="E114" s="4">
        <v>58990</v>
      </c>
      <c r="F114" s="4">
        <v>47742</v>
      </c>
      <c r="G114" s="4">
        <v>55990</v>
      </c>
      <c r="H114" s="4">
        <v>45314</v>
      </c>
      <c r="I114" s="4">
        <v>3000</v>
      </c>
      <c r="J114" s="4">
        <v>2428</v>
      </c>
      <c r="K114" s="3" t="s">
        <v>680</v>
      </c>
      <c r="L114" s="3" t="s">
        <v>681</v>
      </c>
      <c r="M114" s="4" t="s">
        <v>0</v>
      </c>
      <c r="N114" s="3" t="s">
        <v>0</v>
      </c>
    </row>
    <row r="115" spans="1:14" x14ac:dyDescent="0.3">
      <c r="A115" s="8" t="s">
        <v>905</v>
      </c>
      <c r="B115" s="8" t="s">
        <v>841</v>
      </c>
      <c r="C115" s="8" t="s">
        <v>815</v>
      </c>
      <c r="D115" s="3" t="s">
        <v>945</v>
      </c>
      <c r="G115" s="4">
        <v>56000</v>
      </c>
      <c r="H115" s="4">
        <v>700</v>
      </c>
      <c r="J115" s="4" t="s">
        <v>941</v>
      </c>
      <c r="K115" s="3" t="s">
        <v>677</v>
      </c>
      <c r="L115" s="3" t="s">
        <v>784</v>
      </c>
    </row>
    <row r="116" spans="1:14" x14ac:dyDescent="0.3">
      <c r="A116" s="1" t="s">
        <v>597</v>
      </c>
      <c r="B116" s="1" t="s">
        <v>206</v>
      </c>
      <c r="C116" s="2" t="s">
        <v>18</v>
      </c>
      <c r="D116" s="3" t="s">
        <v>706</v>
      </c>
      <c r="E116" s="4">
        <v>62990</v>
      </c>
      <c r="F116" s="4">
        <v>50979</v>
      </c>
      <c r="G116" s="4">
        <v>56990</v>
      </c>
      <c r="H116" s="4">
        <v>46123</v>
      </c>
      <c r="I116" s="4">
        <v>6000</v>
      </c>
      <c r="J116" s="4">
        <v>4856</v>
      </c>
      <c r="K116" s="3" t="s">
        <v>677</v>
      </c>
      <c r="L116" s="3" t="s">
        <v>702</v>
      </c>
      <c r="M116" s="4" t="s">
        <v>0</v>
      </c>
      <c r="N116" s="3" t="s">
        <v>0</v>
      </c>
    </row>
    <row r="117" spans="1:14" x14ac:dyDescent="0.3">
      <c r="A117" s="1" t="s">
        <v>542</v>
      </c>
      <c r="B117" s="1" t="s">
        <v>505</v>
      </c>
      <c r="C117" s="2" t="s">
        <v>51</v>
      </c>
      <c r="D117" s="3" t="s">
        <v>716</v>
      </c>
      <c r="E117" s="4">
        <v>58990</v>
      </c>
      <c r="F117" s="4">
        <v>47742</v>
      </c>
      <c r="G117" s="4">
        <v>56990</v>
      </c>
      <c r="H117" s="4">
        <v>46123</v>
      </c>
      <c r="I117" s="4">
        <v>2000</v>
      </c>
      <c r="J117" s="4">
        <v>1619</v>
      </c>
      <c r="K117" s="3" t="s">
        <v>677</v>
      </c>
      <c r="L117" s="3" t="s">
        <v>678</v>
      </c>
      <c r="M117" s="4" t="s">
        <v>0</v>
      </c>
      <c r="N117" s="3" t="s">
        <v>0</v>
      </c>
    </row>
    <row r="118" spans="1:14" x14ac:dyDescent="0.3">
      <c r="A118" s="1" t="s">
        <v>542</v>
      </c>
      <c r="B118" s="1" t="s">
        <v>506</v>
      </c>
      <c r="C118" s="2" t="s">
        <v>31</v>
      </c>
      <c r="D118" s="3" t="s">
        <v>716</v>
      </c>
      <c r="E118" s="4">
        <v>58990</v>
      </c>
      <c r="F118" s="4">
        <v>47742</v>
      </c>
      <c r="G118" s="4">
        <v>56990</v>
      </c>
      <c r="H118" s="4">
        <v>46123</v>
      </c>
      <c r="I118" s="4">
        <v>2000</v>
      </c>
      <c r="J118" s="4">
        <v>1619</v>
      </c>
      <c r="K118" s="3" t="s">
        <v>677</v>
      </c>
      <c r="L118" s="3" t="s">
        <v>678</v>
      </c>
      <c r="M118" s="4" t="s">
        <v>0</v>
      </c>
      <c r="N118" s="3" t="s">
        <v>0</v>
      </c>
    </row>
    <row r="119" spans="1:14" x14ac:dyDescent="0.3">
      <c r="A119" s="8" t="s">
        <v>906</v>
      </c>
      <c r="B119" s="8" t="s">
        <v>842</v>
      </c>
      <c r="C119" s="8" t="s">
        <v>822</v>
      </c>
      <c r="D119" s="3" t="s">
        <v>959</v>
      </c>
      <c r="G119" s="4">
        <v>57000</v>
      </c>
      <c r="H119" s="4">
        <v>44883</v>
      </c>
      <c r="J119" s="4">
        <v>567</v>
      </c>
      <c r="K119" s="3" t="str">
        <f>IFERROR(VLOOKUP(A119,[1]Sheet5!$C:$O,12,0),"00")</f>
        <v>01 - 29 MARCH</v>
      </c>
      <c r="L119" s="3" t="str">
        <f>IFERROR(VLOOKUP(A119,[1]Sheet5!$C:$O,13,0),"00")</f>
        <v>(NB20260315)_Mar_Sellout Support_RF _Asus_Select</v>
      </c>
    </row>
    <row r="120" spans="1:14" x14ac:dyDescent="0.3">
      <c r="A120" s="8" t="s">
        <v>907</v>
      </c>
      <c r="B120" s="8" t="s">
        <v>843</v>
      </c>
      <c r="C120" s="8" t="s">
        <v>815</v>
      </c>
      <c r="D120" s="3" t="s">
        <v>946</v>
      </c>
      <c r="G120" s="4">
        <v>57000</v>
      </c>
      <c r="H120" s="4">
        <v>700</v>
      </c>
      <c r="J120" s="4" t="s">
        <v>941</v>
      </c>
      <c r="K120" s="3" t="s">
        <v>677</v>
      </c>
      <c r="L120" s="3" t="s">
        <v>784</v>
      </c>
    </row>
    <row r="121" spans="1:14" x14ac:dyDescent="0.3">
      <c r="A121" s="8" t="s">
        <v>907</v>
      </c>
      <c r="B121" s="8" t="s">
        <v>844</v>
      </c>
      <c r="C121" s="8" t="s">
        <v>815</v>
      </c>
      <c r="D121" s="3" t="s">
        <v>946</v>
      </c>
      <c r="G121" s="4">
        <v>57000</v>
      </c>
      <c r="H121" s="4">
        <v>700</v>
      </c>
      <c r="J121" s="4" t="s">
        <v>941</v>
      </c>
      <c r="K121" s="3" t="s">
        <v>677</v>
      </c>
      <c r="L121" s="3" t="s">
        <v>784</v>
      </c>
    </row>
    <row r="122" spans="1:14" x14ac:dyDescent="0.3">
      <c r="A122" s="8" t="s">
        <v>907</v>
      </c>
      <c r="B122" s="8" t="s">
        <v>845</v>
      </c>
      <c r="C122" s="8" t="s">
        <v>815</v>
      </c>
      <c r="D122" s="3" t="s">
        <v>946</v>
      </c>
      <c r="G122" s="4">
        <v>57000</v>
      </c>
      <c r="H122" s="4">
        <v>700</v>
      </c>
      <c r="J122" s="4" t="s">
        <v>941</v>
      </c>
      <c r="K122" s="3" t="s">
        <v>677</v>
      </c>
      <c r="L122" s="3" t="s">
        <v>784</v>
      </c>
    </row>
    <row r="123" spans="1:14" x14ac:dyDescent="0.3">
      <c r="A123" s="8" t="s">
        <v>908</v>
      </c>
      <c r="B123" s="8" t="s">
        <v>846</v>
      </c>
      <c r="C123" s="8" t="s">
        <v>815</v>
      </c>
      <c r="D123" s="3" t="s">
        <v>947</v>
      </c>
      <c r="G123" s="4">
        <v>58000</v>
      </c>
      <c r="H123" s="4">
        <v>700</v>
      </c>
      <c r="J123" s="4" t="s">
        <v>941</v>
      </c>
      <c r="K123" s="3" t="s">
        <v>677</v>
      </c>
      <c r="L123" s="3" t="s">
        <v>784</v>
      </c>
    </row>
    <row r="124" spans="1:14" x14ac:dyDescent="0.3">
      <c r="A124" s="1" t="s">
        <v>607</v>
      </c>
      <c r="B124" s="1" t="s">
        <v>247</v>
      </c>
      <c r="C124" s="2" t="s">
        <v>2</v>
      </c>
      <c r="D124" s="3" t="s">
        <v>720</v>
      </c>
      <c r="E124" s="4">
        <v>64990</v>
      </c>
      <c r="F124" s="4">
        <v>52598</v>
      </c>
      <c r="G124" s="4">
        <v>58490</v>
      </c>
      <c r="H124" s="4">
        <v>47337</v>
      </c>
      <c r="I124" s="4">
        <v>6500</v>
      </c>
      <c r="J124" s="4">
        <v>5261</v>
      </c>
      <c r="K124" s="3" t="s">
        <v>677</v>
      </c>
      <c r="L124" s="3" t="s">
        <v>702</v>
      </c>
      <c r="M124" s="4" t="s">
        <v>0</v>
      </c>
      <c r="N124" s="3" t="s">
        <v>0</v>
      </c>
    </row>
    <row r="125" spans="1:14" x14ac:dyDescent="0.3">
      <c r="A125" s="1" t="s">
        <v>607</v>
      </c>
      <c r="B125" s="1" t="s">
        <v>248</v>
      </c>
      <c r="C125" s="2" t="s">
        <v>666</v>
      </c>
      <c r="D125" s="3" t="s">
        <v>720</v>
      </c>
      <c r="E125" s="4">
        <v>64990</v>
      </c>
      <c r="F125" s="4">
        <v>52598</v>
      </c>
      <c r="G125" s="4">
        <v>58490</v>
      </c>
      <c r="H125" s="4">
        <v>47337</v>
      </c>
      <c r="I125" s="4">
        <v>6500</v>
      </c>
      <c r="J125" s="4">
        <v>5261</v>
      </c>
      <c r="K125" s="3" t="s">
        <v>677</v>
      </c>
      <c r="L125" s="3" t="s">
        <v>702</v>
      </c>
      <c r="M125" s="4" t="s">
        <v>0</v>
      </c>
      <c r="N125" s="3" t="s">
        <v>0</v>
      </c>
    </row>
    <row r="126" spans="1:14" x14ac:dyDescent="0.3">
      <c r="A126" s="1" t="s">
        <v>607</v>
      </c>
      <c r="B126" s="1" t="s">
        <v>249</v>
      </c>
      <c r="C126" s="2" t="s">
        <v>9</v>
      </c>
      <c r="D126" s="3" t="s">
        <v>720</v>
      </c>
      <c r="E126" s="4">
        <v>64990</v>
      </c>
      <c r="F126" s="4">
        <v>52598</v>
      </c>
      <c r="G126" s="4">
        <v>58490</v>
      </c>
      <c r="H126" s="4">
        <v>47337</v>
      </c>
      <c r="I126" s="4">
        <v>6500</v>
      </c>
      <c r="J126" s="4">
        <v>5261</v>
      </c>
      <c r="K126" s="3" t="s">
        <v>677</v>
      </c>
      <c r="L126" s="3" t="s">
        <v>702</v>
      </c>
      <c r="M126" s="4" t="s">
        <v>0</v>
      </c>
      <c r="N126" s="3" t="s">
        <v>0</v>
      </c>
    </row>
    <row r="127" spans="1:14" x14ac:dyDescent="0.3">
      <c r="A127" s="1" t="s">
        <v>607</v>
      </c>
      <c r="B127" s="1" t="s">
        <v>250</v>
      </c>
      <c r="C127" s="2" t="s">
        <v>18</v>
      </c>
      <c r="D127" s="3" t="s">
        <v>720</v>
      </c>
      <c r="E127" s="4">
        <v>64990</v>
      </c>
      <c r="F127" s="4">
        <v>52598</v>
      </c>
      <c r="G127" s="4">
        <v>58490</v>
      </c>
      <c r="H127" s="4">
        <v>47337</v>
      </c>
      <c r="I127" s="4">
        <v>6500</v>
      </c>
      <c r="J127" s="4">
        <v>5261</v>
      </c>
      <c r="K127" s="3" t="s">
        <v>677</v>
      </c>
      <c r="L127" s="3" t="s">
        <v>702</v>
      </c>
      <c r="M127" s="4" t="s">
        <v>0</v>
      </c>
      <c r="N127" s="3" t="s">
        <v>0</v>
      </c>
    </row>
    <row r="128" spans="1:14" x14ac:dyDescent="0.3">
      <c r="A128" s="1" t="s">
        <v>607</v>
      </c>
      <c r="B128" s="1" t="s">
        <v>251</v>
      </c>
      <c r="C128" s="2" t="s">
        <v>18</v>
      </c>
      <c r="D128" s="3" t="s">
        <v>720</v>
      </c>
      <c r="E128" s="4">
        <v>64990</v>
      </c>
      <c r="F128" s="4">
        <v>52598</v>
      </c>
      <c r="G128" s="4">
        <v>58490</v>
      </c>
      <c r="H128" s="4">
        <v>47337</v>
      </c>
      <c r="I128" s="4">
        <v>6500</v>
      </c>
      <c r="J128" s="4">
        <v>5261</v>
      </c>
      <c r="K128" s="3" t="s">
        <v>677</v>
      </c>
      <c r="L128" s="3" t="s">
        <v>702</v>
      </c>
      <c r="M128" s="4" t="s">
        <v>0</v>
      </c>
      <c r="N128" s="3" t="s">
        <v>0</v>
      </c>
    </row>
    <row r="129" spans="1:14" x14ac:dyDescent="0.3">
      <c r="A129" s="1" t="s">
        <v>607</v>
      </c>
      <c r="B129" s="1" t="s">
        <v>252</v>
      </c>
      <c r="C129" s="2" t="s">
        <v>13</v>
      </c>
      <c r="D129" s="3" t="s">
        <v>720</v>
      </c>
      <c r="E129" s="4">
        <v>64990</v>
      </c>
      <c r="F129" s="4">
        <v>52598</v>
      </c>
      <c r="G129" s="4">
        <v>58490</v>
      </c>
      <c r="H129" s="4">
        <v>47337</v>
      </c>
      <c r="I129" s="4">
        <v>6500</v>
      </c>
      <c r="J129" s="4">
        <v>5261</v>
      </c>
      <c r="K129" s="3" t="s">
        <v>677</v>
      </c>
      <c r="L129" s="3" t="s">
        <v>702</v>
      </c>
      <c r="M129" s="4" t="s">
        <v>0</v>
      </c>
      <c r="N129" s="3" t="s">
        <v>0</v>
      </c>
    </row>
    <row r="130" spans="1:14" x14ac:dyDescent="0.3">
      <c r="A130" s="1" t="s">
        <v>607</v>
      </c>
      <c r="B130" s="1" t="s">
        <v>253</v>
      </c>
      <c r="C130" s="2" t="s">
        <v>2</v>
      </c>
      <c r="D130" s="3" t="s">
        <v>720</v>
      </c>
      <c r="E130" s="4">
        <v>64990</v>
      </c>
      <c r="F130" s="4">
        <v>52598</v>
      </c>
      <c r="G130" s="4">
        <v>58490</v>
      </c>
      <c r="H130" s="4">
        <v>47337</v>
      </c>
      <c r="I130" s="4">
        <v>6500</v>
      </c>
      <c r="J130" s="4">
        <v>5261</v>
      </c>
      <c r="K130" s="3" t="s">
        <v>677</v>
      </c>
      <c r="L130" s="3" t="s">
        <v>702</v>
      </c>
      <c r="M130" s="4" t="s">
        <v>0</v>
      </c>
      <c r="N130" s="3" t="s">
        <v>0</v>
      </c>
    </row>
    <row r="131" spans="1:14" x14ac:dyDescent="0.3">
      <c r="A131" s="8" t="s">
        <v>909</v>
      </c>
      <c r="B131" s="8" t="s">
        <v>847</v>
      </c>
      <c r="C131" s="8" t="s">
        <v>822</v>
      </c>
      <c r="D131" s="3" t="s">
        <v>948</v>
      </c>
      <c r="G131" s="4">
        <v>58500</v>
      </c>
      <c r="H131" s="4">
        <v>700</v>
      </c>
      <c r="J131" s="4" t="s">
        <v>941</v>
      </c>
      <c r="K131" s="3" t="s">
        <v>677</v>
      </c>
      <c r="L131" s="3" t="s">
        <v>784</v>
      </c>
    </row>
    <row r="132" spans="1:14" x14ac:dyDescent="0.3">
      <c r="A132" s="1" t="s">
        <v>656</v>
      </c>
      <c r="B132" s="1" t="s">
        <v>469</v>
      </c>
      <c r="C132" s="2" t="s">
        <v>2</v>
      </c>
      <c r="D132" s="3" t="s">
        <v>778</v>
      </c>
      <c r="E132" s="4">
        <v>59990</v>
      </c>
      <c r="F132" s="4">
        <v>48551</v>
      </c>
      <c r="G132" s="4">
        <v>58990</v>
      </c>
      <c r="H132" s="4">
        <v>47742</v>
      </c>
      <c r="I132" s="4">
        <v>1000</v>
      </c>
      <c r="J132" s="4">
        <v>809</v>
      </c>
      <c r="K132" s="3" t="s">
        <v>680</v>
      </c>
      <c r="L132" s="3" t="s">
        <v>681</v>
      </c>
      <c r="M132" s="4" t="s">
        <v>0</v>
      </c>
      <c r="N132" s="3" t="s">
        <v>0</v>
      </c>
    </row>
    <row r="133" spans="1:14" x14ac:dyDescent="0.3">
      <c r="A133" s="1" t="s">
        <v>656</v>
      </c>
      <c r="B133" s="1" t="s">
        <v>470</v>
      </c>
      <c r="C133" s="2" t="s">
        <v>18</v>
      </c>
      <c r="D133" s="3" t="s">
        <v>778</v>
      </c>
      <c r="E133" s="4">
        <v>59990</v>
      </c>
      <c r="F133" s="4">
        <v>48551</v>
      </c>
      <c r="G133" s="4">
        <v>58990</v>
      </c>
      <c r="H133" s="4">
        <v>47742</v>
      </c>
      <c r="I133" s="4">
        <v>1000</v>
      </c>
      <c r="J133" s="4">
        <v>809</v>
      </c>
      <c r="K133" s="3" t="s">
        <v>680</v>
      </c>
      <c r="L133" s="3" t="s">
        <v>681</v>
      </c>
      <c r="M133" s="4" t="s">
        <v>0</v>
      </c>
      <c r="N133" s="3" t="s">
        <v>0</v>
      </c>
    </row>
    <row r="134" spans="1:14" x14ac:dyDescent="0.3">
      <c r="A134" s="1" t="s">
        <v>656</v>
      </c>
      <c r="B134" s="1" t="s">
        <v>471</v>
      </c>
      <c r="C134" s="2" t="s">
        <v>13</v>
      </c>
      <c r="D134" s="3" t="s">
        <v>778</v>
      </c>
      <c r="E134" s="4">
        <v>59990</v>
      </c>
      <c r="F134" s="4">
        <v>48551</v>
      </c>
      <c r="G134" s="4">
        <v>58990</v>
      </c>
      <c r="H134" s="4">
        <v>47742</v>
      </c>
      <c r="I134" s="4">
        <v>1000</v>
      </c>
      <c r="J134" s="4">
        <v>809</v>
      </c>
      <c r="K134" s="3" t="s">
        <v>680</v>
      </c>
      <c r="L134" s="3" t="s">
        <v>681</v>
      </c>
      <c r="M134" s="4" t="s">
        <v>0</v>
      </c>
      <c r="N134" s="3" t="s">
        <v>0</v>
      </c>
    </row>
    <row r="135" spans="1:14" x14ac:dyDescent="0.3">
      <c r="A135" s="1" t="s">
        <v>656</v>
      </c>
      <c r="B135" s="1" t="s">
        <v>472</v>
      </c>
      <c r="C135" s="2" t="s">
        <v>2</v>
      </c>
      <c r="D135" s="3" t="s">
        <v>778</v>
      </c>
      <c r="E135" s="4">
        <v>59990</v>
      </c>
      <c r="F135" s="4">
        <v>48551</v>
      </c>
      <c r="G135" s="4">
        <v>58990</v>
      </c>
      <c r="H135" s="4">
        <v>47742</v>
      </c>
      <c r="I135" s="4">
        <v>1000</v>
      </c>
      <c r="J135" s="4">
        <v>809</v>
      </c>
      <c r="K135" s="3" t="s">
        <v>680</v>
      </c>
      <c r="L135" s="3" t="s">
        <v>681</v>
      </c>
      <c r="M135" s="4" t="s">
        <v>0</v>
      </c>
      <c r="N135" s="3" t="s">
        <v>0</v>
      </c>
    </row>
    <row r="136" spans="1:14" x14ac:dyDescent="0.3">
      <c r="A136" s="1" t="s">
        <v>660</v>
      </c>
      <c r="B136" s="1" t="s">
        <v>477</v>
      </c>
      <c r="C136" s="2" t="s">
        <v>2</v>
      </c>
      <c r="D136" s="3" t="s">
        <v>782</v>
      </c>
      <c r="E136" s="4">
        <v>69990</v>
      </c>
      <c r="F136" s="4">
        <v>56644</v>
      </c>
      <c r="G136" s="4">
        <v>58990</v>
      </c>
      <c r="H136" s="4">
        <v>47742</v>
      </c>
      <c r="I136" s="4">
        <v>11000</v>
      </c>
      <c r="J136" s="4">
        <v>8902</v>
      </c>
      <c r="K136" s="3" t="s">
        <v>680</v>
      </c>
      <c r="L136" s="3" t="s">
        <v>681</v>
      </c>
      <c r="M136" s="4" t="s">
        <v>0</v>
      </c>
      <c r="N136" s="3" t="s">
        <v>0</v>
      </c>
    </row>
    <row r="137" spans="1:14" x14ac:dyDescent="0.3">
      <c r="A137" s="1" t="s">
        <v>660</v>
      </c>
      <c r="B137" s="1" t="s">
        <v>478</v>
      </c>
      <c r="C137" s="2" t="s">
        <v>2</v>
      </c>
      <c r="D137" s="3" t="s">
        <v>782</v>
      </c>
      <c r="E137" s="4">
        <v>69990</v>
      </c>
      <c r="F137" s="4">
        <v>56644</v>
      </c>
      <c r="G137" s="4">
        <v>58990</v>
      </c>
      <c r="H137" s="4">
        <v>47742</v>
      </c>
      <c r="I137" s="4">
        <v>11000</v>
      </c>
      <c r="J137" s="4">
        <v>8902</v>
      </c>
      <c r="K137" s="3" t="s">
        <v>680</v>
      </c>
      <c r="L137" s="3" t="s">
        <v>681</v>
      </c>
      <c r="M137" s="4" t="s">
        <v>0</v>
      </c>
      <c r="N137" s="3" t="s">
        <v>0</v>
      </c>
    </row>
    <row r="138" spans="1:14" x14ac:dyDescent="0.3">
      <c r="A138" s="1" t="s">
        <v>660</v>
      </c>
      <c r="B138" s="1" t="s">
        <v>479</v>
      </c>
      <c r="C138" s="2" t="s">
        <v>67</v>
      </c>
      <c r="D138" s="3" t="s">
        <v>782</v>
      </c>
      <c r="E138" s="4">
        <v>69990</v>
      </c>
      <c r="F138" s="4">
        <v>56644</v>
      </c>
      <c r="G138" s="4">
        <v>58990</v>
      </c>
      <c r="H138" s="4">
        <v>47742</v>
      </c>
      <c r="I138" s="4">
        <v>11000</v>
      </c>
      <c r="J138" s="4">
        <v>8902</v>
      </c>
      <c r="K138" s="3" t="s">
        <v>680</v>
      </c>
      <c r="L138" s="3" t="s">
        <v>681</v>
      </c>
      <c r="M138" s="4" t="s">
        <v>0</v>
      </c>
      <c r="N138" s="3" t="s">
        <v>0</v>
      </c>
    </row>
    <row r="139" spans="1:14" x14ac:dyDescent="0.3">
      <c r="A139" s="1" t="s">
        <v>660</v>
      </c>
      <c r="B139" s="1" t="s">
        <v>480</v>
      </c>
      <c r="C139" s="2" t="s">
        <v>6</v>
      </c>
      <c r="D139" s="3" t="s">
        <v>782</v>
      </c>
      <c r="E139" s="4">
        <v>69990</v>
      </c>
      <c r="F139" s="4">
        <v>56644</v>
      </c>
      <c r="G139" s="4">
        <v>58990</v>
      </c>
      <c r="H139" s="4">
        <v>47742</v>
      </c>
      <c r="I139" s="4">
        <v>11000</v>
      </c>
      <c r="J139" s="4">
        <v>8902</v>
      </c>
      <c r="K139" s="3" t="s">
        <v>680</v>
      </c>
      <c r="L139" s="3" t="s">
        <v>681</v>
      </c>
      <c r="M139" s="4" t="s">
        <v>0</v>
      </c>
      <c r="N139" s="3" t="s">
        <v>0</v>
      </c>
    </row>
    <row r="140" spans="1:14" x14ac:dyDescent="0.3">
      <c r="A140" s="1" t="s">
        <v>660</v>
      </c>
      <c r="B140" s="1" t="s">
        <v>481</v>
      </c>
      <c r="C140" s="2" t="s">
        <v>54</v>
      </c>
      <c r="D140" s="3" t="s">
        <v>782</v>
      </c>
      <c r="E140" s="4">
        <v>69990</v>
      </c>
      <c r="F140" s="4">
        <v>56644</v>
      </c>
      <c r="G140" s="4">
        <v>58990</v>
      </c>
      <c r="H140" s="4">
        <v>47742</v>
      </c>
      <c r="I140" s="4">
        <v>11000</v>
      </c>
      <c r="J140" s="4">
        <v>8902</v>
      </c>
      <c r="K140" s="3" t="s">
        <v>680</v>
      </c>
      <c r="L140" s="3" t="s">
        <v>681</v>
      </c>
      <c r="M140" s="4" t="s">
        <v>0</v>
      </c>
      <c r="N140" s="3" t="s">
        <v>0</v>
      </c>
    </row>
    <row r="141" spans="1:14" x14ac:dyDescent="0.3">
      <c r="A141" s="1" t="s">
        <v>660</v>
      </c>
      <c r="B141" s="1" t="s">
        <v>482</v>
      </c>
      <c r="C141" s="2" t="s">
        <v>16</v>
      </c>
      <c r="D141" s="3" t="s">
        <v>782</v>
      </c>
      <c r="E141" s="4">
        <v>69990</v>
      </c>
      <c r="F141" s="4">
        <v>56644</v>
      </c>
      <c r="G141" s="4">
        <v>58990</v>
      </c>
      <c r="H141" s="4">
        <v>47742</v>
      </c>
      <c r="I141" s="4">
        <v>11000</v>
      </c>
      <c r="J141" s="4">
        <v>8902</v>
      </c>
      <c r="K141" s="3" t="s">
        <v>680</v>
      </c>
      <c r="L141" s="3" t="s">
        <v>681</v>
      </c>
      <c r="M141" s="4" t="s">
        <v>0</v>
      </c>
      <c r="N141" s="3" t="s">
        <v>0</v>
      </c>
    </row>
    <row r="142" spans="1:14" x14ac:dyDescent="0.3">
      <c r="A142" s="1" t="s">
        <v>660</v>
      </c>
      <c r="B142" s="1" t="s">
        <v>483</v>
      </c>
      <c r="C142" s="2" t="s">
        <v>11</v>
      </c>
      <c r="D142" s="3" t="s">
        <v>782</v>
      </c>
      <c r="E142" s="4">
        <v>69990</v>
      </c>
      <c r="F142" s="4">
        <v>56644</v>
      </c>
      <c r="G142" s="4">
        <v>58990</v>
      </c>
      <c r="H142" s="4">
        <v>47742</v>
      </c>
      <c r="I142" s="4">
        <v>11000</v>
      </c>
      <c r="J142" s="4">
        <v>8902</v>
      </c>
      <c r="K142" s="3" t="s">
        <v>680</v>
      </c>
      <c r="L142" s="3" t="s">
        <v>681</v>
      </c>
      <c r="M142" s="4" t="s">
        <v>0</v>
      </c>
      <c r="N142" s="3" t="s">
        <v>0</v>
      </c>
    </row>
    <row r="143" spans="1:14" x14ac:dyDescent="0.3">
      <c r="A143" s="1" t="s">
        <v>661</v>
      </c>
      <c r="B143" s="1" t="s">
        <v>484</v>
      </c>
      <c r="C143" s="2" t="s">
        <v>6</v>
      </c>
      <c r="D143" s="3" t="s">
        <v>783</v>
      </c>
      <c r="E143" s="4">
        <v>69990</v>
      </c>
      <c r="F143" s="4">
        <v>56644</v>
      </c>
      <c r="G143" s="4">
        <v>58990</v>
      </c>
      <c r="H143" s="4">
        <v>47742</v>
      </c>
      <c r="I143" s="4">
        <v>11000</v>
      </c>
      <c r="J143" s="4">
        <v>8902</v>
      </c>
      <c r="K143" s="3" t="s">
        <v>680</v>
      </c>
      <c r="L143" s="3" t="s">
        <v>681</v>
      </c>
      <c r="M143" s="4" t="s">
        <v>0</v>
      </c>
      <c r="N143" s="3" t="s">
        <v>0</v>
      </c>
    </row>
    <row r="144" spans="1:14" x14ac:dyDescent="0.3">
      <c r="A144" s="1" t="s">
        <v>661</v>
      </c>
      <c r="B144" s="1" t="s">
        <v>485</v>
      </c>
      <c r="C144" s="2" t="s">
        <v>67</v>
      </c>
      <c r="D144" s="3" t="s">
        <v>783</v>
      </c>
      <c r="E144" s="4">
        <v>69990</v>
      </c>
      <c r="F144" s="4">
        <v>56644</v>
      </c>
      <c r="G144" s="4">
        <v>58990</v>
      </c>
      <c r="H144" s="4">
        <v>47742</v>
      </c>
      <c r="I144" s="4">
        <v>11000</v>
      </c>
      <c r="J144" s="4">
        <v>8902</v>
      </c>
      <c r="K144" s="3" t="s">
        <v>680</v>
      </c>
      <c r="L144" s="3" t="s">
        <v>681</v>
      </c>
      <c r="M144" s="4">
        <v>1000</v>
      </c>
      <c r="N144" s="3" t="s">
        <v>942</v>
      </c>
    </row>
    <row r="145" spans="1:14" x14ac:dyDescent="0.3">
      <c r="A145" s="1" t="s">
        <v>661</v>
      </c>
      <c r="B145" s="1" t="s">
        <v>486</v>
      </c>
      <c r="C145" s="2" t="s">
        <v>51</v>
      </c>
      <c r="D145" s="3" t="s">
        <v>783</v>
      </c>
      <c r="E145" s="4">
        <v>69990</v>
      </c>
      <c r="F145" s="4">
        <v>56644</v>
      </c>
      <c r="G145" s="4">
        <v>58990</v>
      </c>
      <c r="H145" s="4">
        <v>47742</v>
      </c>
      <c r="I145" s="4">
        <v>11000</v>
      </c>
      <c r="J145" s="4">
        <v>8902</v>
      </c>
      <c r="K145" s="3" t="s">
        <v>680</v>
      </c>
      <c r="L145" s="3" t="s">
        <v>681</v>
      </c>
      <c r="M145" s="4">
        <v>1000</v>
      </c>
      <c r="N145" s="3" t="s">
        <v>942</v>
      </c>
    </row>
    <row r="146" spans="1:14" x14ac:dyDescent="0.3">
      <c r="A146" s="1" t="s">
        <v>661</v>
      </c>
      <c r="B146" s="1" t="s">
        <v>487</v>
      </c>
      <c r="C146" s="2" t="s">
        <v>18</v>
      </c>
      <c r="D146" s="3" t="s">
        <v>783</v>
      </c>
      <c r="E146" s="4">
        <v>69990</v>
      </c>
      <c r="F146" s="4">
        <v>56644</v>
      </c>
      <c r="G146" s="4">
        <v>58990</v>
      </c>
      <c r="H146" s="4">
        <v>47742</v>
      </c>
      <c r="I146" s="4">
        <v>11000</v>
      </c>
      <c r="J146" s="4">
        <v>8902</v>
      </c>
      <c r="K146" s="3" t="s">
        <v>680</v>
      </c>
      <c r="L146" s="3" t="s">
        <v>681</v>
      </c>
      <c r="M146" s="4">
        <v>1000</v>
      </c>
      <c r="N146" s="3" t="s">
        <v>942</v>
      </c>
    </row>
    <row r="147" spans="1:14" x14ac:dyDescent="0.3">
      <c r="A147" s="1" t="s">
        <v>661</v>
      </c>
      <c r="B147" s="1" t="s">
        <v>488</v>
      </c>
      <c r="C147" s="2" t="s">
        <v>13</v>
      </c>
      <c r="D147" s="3" t="s">
        <v>783</v>
      </c>
      <c r="E147" s="4">
        <v>69990</v>
      </c>
      <c r="F147" s="4">
        <v>56644</v>
      </c>
      <c r="G147" s="4">
        <v>58990</v>
      </c>
      <c r="H147" s="4">
        <v>47742</v>
      </c>
      <c r="I147" s="4">
        <v>11000</v>
      </c>
      <c r="J147" s="4">
        <v>8902</v>
      </c>
      <c r="K147" s="3" t="s">
        <v>680</v>
      </c>
      <c r="L147" s="3" t="s">
        <v>681</v>
      </c>
      <c r="M147" s="4" t="s">
        <v>0</v>
      </c>
      <c r="N147" s="3" t="s">
        <v>0</v>
      </c>
    </row>
    <row r="148" spans="1:14" x14ac:dyDescent="0.3">
      <c r="A148" s="1" t="s">
        <v>661</v>
      </c>
      <c r="B148" s="1" t="s">
        <v>489</v>
      </c>
      <c r="C148" s="2" t="s">
        <v>16</v>
      </c>
      <c r="D148" s="3" t="s">
        <v>783</v>
      </c>
      <c r="E148" s="4">
        <v>69990</v>
      </c>
      <c r="F148" s="4">
        <v>56644</v>
      </c>
      <c r="G148" s="4">
        <v>58990</v>
      </c>
      <c r="H148" s="4">
        <v>47742</v>
      </c>
      <c r="I148" s="4">
        <v>11000</v>
      </c>
      <c r="J148" s="4">
        <v>8902</v>
      </c>
      <c r="K148" s="3" t="s">
        <v>680</v>
      </c>
      <c r="L148" s="3" t="s">
        <v>681</v>
      </c>
      <c r="M148" s="4">
        <v>1000</v>
      </c>
      <c r="N148" s="3" t="s">
        <v>942</v>
      </c>
    </row>
    <row r="149" spans="1:14" x14ac:dyDescent="0.3">
      <c r="A149" s="1" t="s">
        <v>661</v>
      </c>
      <c r="B149" s="1" t="s">
        <v>490</v>
      </c>
      <c r="C149" s="2" t="s">
        <v>51</v>
      </c>
      <c r="D149" s="3" t="s">
        <v>783</v>
      </c>
      <c r="E149" s="4">
        <v>69990</v>
      </c>
      <c r="F149" s="4">
        <v>56644</v>
      </c>
      <c r="G149" s="4">
        <v>58990</v>
      </c>
      <c r="H149" s="4">
        <v>47742</v>
      </c>
      <c r="I149" s="4">
        <v>11000</v>
      </c>
      <c r="J149" s="4">
        <v>8902</v>
      </c>
      <c r="K149" s="3" t="s">
        <v>680</v>
      </c>
      <c r="L149" s="3" t="s">
        <v>681</v>
      </c>
      <c r="M149" s="4" t="s">
        <v>0</v>
      </c>
      <c r="N149" s="3" t="s">
        <v>0</v>
      </c>
    </row>
    <row r="150" spans="1:14" x14ac:dyDescent="0.3">
      <c r="A150" s="1" t="s">
        <v>661</v>
      </c>
      <c r="B150" s="1" t="s">
        <v>491</v>
      </c>
      <c r="C150" s="2" t="s">
        <v>666</v>
      </c>
      <c r="D150" s="3" t="s">
        <v>783</v>
      </c>
      <c r="E150" s="4">
        <v>69990</v>
      </c>
      <c r="F150" s="4">
        <v>56644</v>
      </c>
      <c r="G150" s="4">
        <v>58990</v>
      </c>
      <c r="H150" s="4">
        <v>47742</v>
      </c>
      <c r="I150" s="4">
        <v>11000</v>
      </c>
      <c r="J150" s="4">
        <v>8902</v>
      </c>
      <c r="K150" s="3" t="s">
        <v>680</v>
      </c>
      <c r="L150" s="3" t="s">
        <v>681</v>
      </c>
      <c r="M150" s="4" t="s">
        <v>0</v>
      </c>
      <c r="N150" s="3" t="s">
        <v>0</v>
      </c>
    </row>
    <row r="151" spans="1:14" x14ac:dyDescent="0.3">
      <c r="A151" s="1" t="s">
        <v>661</v>
      </c>
      <c r="B151" s="1" t="s">
        <v>492</v>
      </c>
      <c r="C151" s="2" t="s">
        <v>22</v>
      </c>
      <c r="D151" s="3" t="s">
        <v>783</v>
      </c>
      <c r="E151" s="4">
        <v>69990</v>
      </c>
      <c r="F151" s="4">
        <v>56644</v>
      </c>
      <c r="G151" s="4">
        <v>58990</v>
      </c>
      <c r="H151" s="4">
        <v>47742</v>
      </c>
      <c r="I151" s="4">
        <v>11000</v>
      </c>
      <c r="J151" s="4">
        <v>8902</v>
      </c>
      <c r="K151" s="3" t="s">
        <v>680</v>
      </c>
      <c r="L151" s="3" t="s">
        <v>681</v>
      </c>
      <c r="M151" s="4" t="s">
        <v>0</v>
      </c>
      <c r="N151" s="3" t="s">
        <v>0</v>
      </c>
    </row>
    <row r="152" spans="1:14" x14ac:dyDescent="0.3">
      <c r="A152" s="1" t="s">
        <v>661</v>
      </c>
      <c r="B152" s="1" t="s">
        <v>493</v>
      </c>
      <c r="C152" s="2" t="s">
        <v>4</v>
      </c>
      <c r="D152" s="3" t="s">
        <v>783</v>
      </c>
      <c r="E152" s="4">
        <v>69990</v>
      </c>
      <c r="F152" s="4">
        <v>56644</v>
      </c>
      <c r="G152" s="4">
        <v>58990</v>
      </c>
      <c r="H152" s="4">
        <v>47742</v>
      </c>
      <c r="I152" s="4">
        <v>11000</v>
      </c>
      <c r="J152" s="4">
        <v>8902</v>
      </c>
      <c r="K152" s="3" t="s">
        <v>680</v>
      </c>
      <c r="L152" s="3" t="s">
        <v>681</v>
      </c>
      <c r="M152" s="4" t="s">
        <v>0</v>
      </c>
      <c r="N152" s="3" t="s">
        <v>0</v>
      </c>
    </row>
    <row r="153" spans="1:14" x14ac:dyDescent="0.3">
      <c r="A153" s="1" t="s">
        <v>661</v>
      </c>
      <c r="B153" s="1" t="s">
        <v>494</v>
      </c>
      <c r="C153" s="2" t="s">
        <v>16</v>
      </c>
      <c r="D153" s="3" t="s">
        <v>783</v>
      </c>
      <c r="E153" s="4">
        <v>69990</v>
      </c>
      <c r="F153" s="4">
        <v>56644</v>
      </c>
      <c r="G153" s="4">
        <v>58990</v>
      </c>
      <c r="H153" s="4">
        <v>47742</v>
      </c>
      <c r="I153" s="4">
        <v>11000</v>
      </c>
      <c r="J153" s="4">
        <v>8902</v>
      </c>
      <c r="K153" s="3" t="s">
        <v>680</v>
      </c>
      <c r="L153" s="3" t="s">
        <v>681</v>
      </c>
      <c r="M153" s="4" t="s">
        <v>0</v>
      </c>
      <c r="N153" s="3" t="s">
        <v>0</v>
      </c>
    </row>
    <row r="154" spans="1:14" x14ac:dyDescent="0.3">
      <c r="A154" s="1" t="s">
        <v>661</v>
      </c>
      <c r="B154" s="1" t="s">
        <v>495</v>
      </c>
      <c r="C154" s="2" t="s">
        <v>22</v>
      </c>
      <c r="D154" s="3" t="s">
        <v>783</v>
      </c>
      <c r="E154" s="4">
        <v>69990</v>
      </c>
      <c r="F154" s="4">
        <v>56644</v>
      </c>
      <c r="G154" s="4">
        <v>58990</v>
      </c>
      <c r="H154" s="4">
        <v>47742</v>
      </c>
      <c r="I154" s="4">
        <v>11000</v>
      </c>
      <c r="J154" s="4">
        <v>8902</v>
      </c>
      <c r="K154" s="3" t="s">
        <v>680</v>
      </c>
      <c r="L154" s="3" t="s">
        <v>681</v>
      </c>
      <c r="M154" s="4" t="s">
        <v>0</v>
      </c>
      <c r="N154" s="3" t="s">
        <v>0</v>
      </c>
    </row>
    <row r="155" spans="1:14" x14ac:dyDescent="0.3">
      <c r="A155" s="1" t="s">
        <v>661</v>
      </c>
      <c r="B155" s="1" t="s">
        <v>496</v>
      </c>
      <c r="C155" s="2" t="s">
        <v>11</v>
      </c>
      <c r="D155" s="3" t="s">
        <v>783</v>
      </c>
      <c r="E155" s="4">
        <v>69990</v>
      </c>
      <c r="F155" s="4">
        <v>56644</v>
      </c>
      <c r="G155" s="4">
        <v>58990</v>
      </c>
      <c r="H155" s="4">
        <v>47742</v>
      </c>
      <c r="I155" s="4">
        <v>11000</v>
      </c>
      <c r="J155" s="4">
        <v>8902</v>
      </c>
      <c r="K155" s="3" t="s">
        <v>680</v>
      </c>
      <c r="L155" s="3" t="s">
        <v>681</v>
      </c>
      <c r="M155" s="4" t="s">
        <v>0</v>
      </c>
      <c r="N155" s="3" t="s">
        <v>0</v>
      </c>
    </row>
    <row r="156" spans="1:14" x14ac:dyDescent="0.3">
      <c r="A156" s="1" t="s">
        <v>661</v>
      </c>
      <c r="B156" s="1" t="s">
        <v>497</v>
      </c>
      <c r="C156" s="2" t="s">
        <v>666</v>
      </c>
      <c r="D156" s="3" t="s">
        <v>783</v>
      </c>
      <c r="E156" s="4">
        <v>69990</v>
      </c>
      <c r="F156" s="4">
        <v>56644</v>
      </c>
      <c r="G156" s="4">
        <v>58990</v>
      </c>
      <c r="H156" s="4">
        <v>47742</v>
      </c>
      <c r="I156" s="4">
        <v>11000</v>
      </c>
      <c r="J156" s="4">
        <v>8902</v>
      </c>
      <c r="K156" s="3" t="s">
        <v>680</v>
      </c>
      <c r="L156" s="3" t="s">
        <v>681</v>
      </c>
      <c r="M156" s="4" t="s">
        <v>0</v>
      </c>
      <c r="N156" s="3" t="s">
        <v>0</v>
      </c>
    </row>
    <row r="157" spans="1:14" x14ac:dyDescent="0.3">
      <c r="A157" s="1" t="s">
        <v>661</v>
      </c>
      <c r="B157" s="1" t="s">
        <v>498</v>
      </c>
      <c r="C157" s="2" t="s">
        <v>22</v>
      </c>
      <c r="D157" s="3" t="s">
        <v>783</v>
      </c>
      <c r="E157" s="4">
        <v>69990</v>
      </c>
      <c r="F157" s="4">
        <v>56644</v>
      </c>
      <c r="G157" s="4">
        <v>58990</v>
      </c>
      <c r="H157" s="4">
        <v>47742</v>
      </c>
      <c r="I157" s="4">
        <v>11000</v>
      </c>
      <c r="J157" s="4">
        <v>8902</v>
      </c>
      <c r="K157" s="3" t="s">
        <v>680</v>
      </c>
      <c r="L157" s="3" t="s">
        <v>681</v>
      </c>
      <c r="M157" s="4" t="s">
        <v>0</v>
      </c>
      <c r="N157" s="3" t="s">
        <v>0</v>
      </c>
    </row>
    <row r="158" spans="1:14" x14ac:dyDescent="0.3">
      <c r="A158" s="1" t="s">
        <v>661</v>
      </c>
      <c r="B158" s="1" t="s">
        <v>499</v>
      </c>
      <c r="C158" s="2" t="s">
        <v>24</v>
      </c>
      <c r="D158" s="3" t="s">
        <v>783</v>
      </c>
      <c r="E158" s="4">
        <v>69990</v>
      </c>
      <c r="F158" s="4">
        <v>56644</v>
      </c>
      <c r="G158" s="4">
        <v>58990</v>
      </c>
      <c r="H158" s="4">
        <v>47742</v>
      </c>
      <c r="I158" s="4">
        <v>11000</v>
      </c>
      <c r="J158" s="4">
        <v>8902</v>
      </c>
      <c r="K158" s="3" t="s">
        <v>680</v>
      </c>
      <c r="L158" s="3" t="s">
        <v>681</v>
      </c>
      <c r="M158" s="4" t="s">
        <v>0</v>
      </c>
      <c r="N158" s="3" t="s">
        <v>0</v>
      </c>
    </row>
    <row r="159" spans="1:14" x14ac:dyDescent="0.3">
      <c r="A159" s="1" t="s">
        <v>661</v>
      </c>
      <c r="B159" s="1" t="s">
        <v>500</v>
      </c>
      <c r="C159" s="2" t="s">
        <v>2</v>
      </c>
      <c r="D159" s="3" t="s">
        <v>783</v>
      </c>
      <c r="E159" s="4">
        <v>69990</v>
      </c>
      <c r="F159" s="4">
        <v>56644</v>
      </c>
      <c r="G159" s="4">
        <v>58990</v>
      </c>
      <c r="H159" s="4">
        <v>47742</v>
      </c>
      <c r="I159" s="4">
        <v>11000</v>
      </c>
      <c r="J159" s="4">
        <v>8902</v>
      </c>
      <c r="K159" s="3" t="s">
        <v>680</v>
      </c>
      <c r="L159" s="3" t="s">
        <v>681</v>
      </c>
      <c r="M159" s="4" t="s">
        <v>0</v>
      </c>
      <c r="N159" s="3" t="s">
        <v>0</v>
      </c>
    </row>
    <row r="160" spans="1:14" x14ac:dyDescent="0.3">
      <c r="A160" s="1" t="s">
        <v>661</v>
      </c>
      <c r="B160" s="1" t="s">
        <v>501</v>
      </c>
      <c r="C160" s="2" t="s">
        <v>667</v>
      </c>
      <c r="D160" s="3" t="s">
        <v>783</v>
      </c>
      <c r="E160" s="4">
        <v>69990</v>
      </c>
      <c r="F160" s="4">
        <v>56644</v>
      </c>
      <c r="G160" s="4">
        <v>58990</v>
      </c>
      <c r="H160" s="4">
        <v>47742</v>
      </c>
      <c r="I160" s="4">
        <v>11000</v>
      </c>
      <c r="J160" s="4">
        <v>8902</v>
      </c>
      <c r="K160" s="3" t="s">
        <v>680</v>
      </c>
      <c r="L160" s="3" t="s">
        <v>681</v>
      </c>
      <c r="M160" s="4" t="s">
        <v>0</v>
      </c>
      <c r="N160" s="3" t="s">
        <v>0</v>
      </c>
    </row>
    <row r="161" spans="1:14" x14ac:dyDescent="0.3">
      <c r="A161" s="1" t="s">
        <v>661</v>
      </c>
      <c r="B161" s="1" t="s">
        <v>502</v>
      </c>
      <c r="C161" s="2" t="s">
        <v>2</v>
      </c>
      <c r="D161" s="3" t="s">
        <v>783</v>
      </c>
      <c r="E161" s="4">
        <v>69990</v>
      </c>
      <c r="F161" s="4">
        <v>56644</v>
      </c>
      <c r="G161" s="4">
        <v>58990</v>
      </c>
      <c r="H161" s="4">
        <v>47742</v>
      </c>
      <c r="I161" s="4">
        <v>11000</v>
      </c>
      <c r="J161" s="4">
        <v>8902</v>
      </c>
      <c r="K161" s="3" t="s">
        <v>680</v>
      </c>
      <c r="L161" s="3" t="s">
        <v>681</v>
      </c>
      <c r="M161" s="4" t="s">
        <v>0</v>
      </c>
      <c r="N161" s="3" t="s">
        <v>0</v>
      </c>
    </row>
    <row r="162" spans="1:14" x14ac:dyDescent="0.3">
      <c r="A162" s="8" t="s">
        <v>910</v>
      </c>
      <c r="B162" s="8" t="s">
        <v>848</v>
      </c>
      <c r="C162" s="8" t="s">
        <v>849</v>
      </c>
      <c r="D162" s="3" t="s">
        <v>960</v>
      </c>
      <c r="G162" s="4">
        <v>59000</v>
      </c>
      <c r="H162" s="4">
        <v>46583</v>
      </c>
      <c r="J162" s="4">
        <v>5099</v>
      </c>
      <c r="K162" s="3" t="str">
        <f>IFERROR(VLOOKUP(A162,[1]Sheet5!$C:$O,12,0),"00")</f>
        <v>01 - 29 MARCH</v>
      </c>
      <c r="L162" s="3" t="str">
        <f>IFERROR(VLOOKUP(A162,[1]Sheet5!$C:$O,13,0),"00")</f>
        <v>(NB20260315)_Mar_Sellout Support_RF _Asus_Select</v>
      </c>
    </row>
    <row r="163" spans="1:14" x14ac:dyDescent="0.3">
      <c r="A163" s="8" t="s">
        <v>911</v>
      </c>
      <c r="B163" s="8" t="s">
        <v>850</v>
      </c>
      <c r="C163" s="8" t="s">
        <v>815</v>
      </c>
      <c r="D163" s="3" t="s">
        <v>958</v>
      </c>
      <c r="G163" s="4">
        <v>60000</v>
      </c>
      <c r="H163" s="4">
        <v>44802</v>
      </c>
      <c r="J163" s="4">
        <v>5098</v>
      </c>
      <c r="K163" s="3" t="str">
        <f>IFERROR(VLOOKUP(A163,[1]Sheet5!$C:$O,12,0),"00")</f>
        <v>01 - 29 MARCH</v>
      </c>
      <c r="L163" s="3" t="str">
        <f>IFERROR(VLOOKUP(A163,[1]Sheet5!$C:$O,13,0),"00")</f>
        <v>(NB20260315)_Mar_Sellout Support_RF _Asus_Select</v>
      </c>
    </row>
    <row r="164" spans="1:14" x14ac:dyDescent="0.3">
      <c r="A164" s="1" t="s">
        <v>548</v>
      </c>
      <c r="B164" s="1" t="s">
        <v>519</v>
      </c>
      <c r="C164" s="2" t="s">
        <v>18</v>
      </c>
      <c r="D164" s="3" t="s">
        <v>762</v>
      </c>
      <c r="E164" s="4">
        <v>61990</v>
      </c>
      <c r="F164" s="4">
        <v>50170</v>
      </c>
      <c r="G164" s="4">
        <v>60990</v>
      </c>
      <c r="H164" s="4">
        <v>49361</v>
      </c>
      <c r="I164" s="4">
        <v>1000</v>
      </c>
      <c r="J164" s="4">
        <v>809</v>
      </c>
      <c r="K164" s="3" t="s">
        <v>680</v>
      </c>
      <c r="L164" s="3" t="s">
        <v>757</v>
      </c>
      <c r="M164" s="4" t="s">
        <v>0</v>
      </c>
      <c r="N164" s="3" t="s">
        <v>0</v>
      </c>
    </row>
    <row r="165" spans="1:14" x14ac:dyDescent="0.3">
      <c r="A165" s="8" t="s">
        <v>912</v>
      </c>
      <c r="B165" s="8" t="s">
        <v>851</v>
      </c>
      <c r="C165" s="8" t="s">
        <v>815</v>
      </c>
      <c r="D165" s="3" t="s">
        <v>725</v>
      </c>
      <c r="G165" s="4">
        <v>61000</v>
      </c>
      <c r="H165" s="4">
        <v>47149</v>
      </c>
      <c r="J165" s="4">
        <v>4533</v>
      </c>
      <c r="K165" s="3" t="str">
        <f>IFERROR(VLOOKUP(A165,[1]Sheet5!$C:$O,12,0),"00")</f>
        <v>01 - 29 MARCH</v>
      </c>
      <c r="L165" s="3" t="str">
        <f>IFERROR(VLOOKUP(A165,[1]Sheet5!$C:$O,13,0),"00")</f>
        <v>(NB20260315)_Mar_Sellout Support_RF _Asus_Select</v>
      </c>
    </row>
    <row r="166" spans="1:14" x14ac:dyDescent="0.3">
      <c r="A166" s="1" t="s">
        <v>602</v>
      </c>
      <c r="B166" s="1" t="s">
        <v>223</v>
      </c>
      <c r="C166" s="2" t="s">
        <v>666</v>
      </c>
      <c r="D166" s="3" t="s">
        <v>712</v>
      </c>
      <c r="E166" s="4">
        <v>72990</v>
      </c>
      <c r="F166" s="4">
        <v>59072</v>
      </c>
      <c r="G166" s="4">
        <v>61990</v>
      </c>
      <c r="H166" s="4">
        <v>50170</v>
      </c>
      <c r="I166" s="4">
        <v>11000</v>
      </c>
      <c r="J166" s="4">
        <v>8902</v>
      </c>
      <c r="K166" s="3" t="s">
        <v>677</v>
      </c>
      <c r="L166" s="3" t="s">
        <v>710</v>
      </c>
      <c r="M166" s="4" t="s">
        <v>0</v>
      </c>
      <c r="N166" s="3" t="s">
        <v>0</v>
      </c>
    </row>
    <row r="167" spans="1:14" x14ac:dyDescent="0.3">
      <c r="A167" s="1" t="s">
        <v>602</v>
      </c>
      <c r="B167" s="1" t="s">
        <v>224</v>
      </c>
      <c r="C167" s="2" t="s">
        <v>13</v>
      </c>
      <c r="D167" s="3" t="s">
        <v>712</v>
      </c>
      <c r="E167" s="4">
        <v>72990</v>
      </c>
      <c r="F167" s="4">
        <v>59072</v>
      </c>
      <c r="G167" s="4">
        <v>61990</v>
      </c>
      <c r="H167" s="4">
        <v>50170</v>
      </c>
      <c r="I167" s="4">
        <v>11000</v>
      </c>
      <c r="J167" s="4">
        <v>8902</v>
      </c>
      <c r="K167" s="3" t="s">
        <v>677</v>
      </c>
      <c r="L167" s="3" t="s">
        <v>710</v>
      </c>
      <c r="M167" s="4" t="s">
        <v>0</v>
      </c>
      <c r="N167" s="3" t="s">
        <v>0</v>
      </c>
    </row>
    <row r="168" spans="1:14" x14ac:dyDescent="0.3">
      <c r="A168" s="1" t="s">
        <v>602</v>
      </c>
      <c r="B168" s="1" t="s">
        <v>225</v>
      </c>
      <c r="C168" s="2" t="s">
        <v>666</v>
      </c>
      <c r="D168" s="3" t="s">
        <v>712</v>
      </c>
      <c r="E168" s="4">
        <v>72990</v>
      </c>
      <c r="F168" s="4">
        <v>59072</v>
      </c>
      <c r="G168" s="4">
        <v>61990</v>
      </c>
      <c r="H168" s="4">
        <v>50170</v>
      </c>
      <c r="I168" s="4">
        <v>11000</v>
      </c>
      <c r="J168" s="4">
        <v>8902</v>
      </c>
      <c r="K168" s="3" t="s">
        <v>677</v>
      </c>
      <c r="L168" s="3" t="s">
        <v>710</v>
      </c>
      <c r="M168" s="4" t="s">
        <v>0</v>
      </c>
      <c r="N168" s="3" t="s">
        <v>0</v>
      </c>
    </row>
    <row r="169" spans="1:14" x14ac:dyDescent="0.3">
      <c r="A169" s="1" t="s">
        <v>602</v>
      </c>
      <c r="B169" s="1" t="s">
        <v>226</v>
      </c>
      <c r="C169" s="2" t="s">
        <v>18</v>
      </c>
      <c r="D169" s="3" t="s">
        <v>712</v>
      </c>
      <c r="E169" s="4">
        <v>72990</v>
      </c>
      <c r="F169" s="4">
        <v>59072</v>
      </c>
      <c r="G169" s="4">
        <v>61990</v>
      </c>
      <c r="H169" s="4">
        <v>50170</v>
      </c>
      <c r="I169" s="4">
        <v>11000</v>
      </c>
      <c r="J169" s="4">
        <v>8902</v>
      </c>
      <c r="K169" s="3" t="s">
        <v>677</v>
      </c>
      <c r="L169" s="3" t="s">
        <v>710</v>
      </c>
      <c r="M169" s="4" t="s">
        <v>0</v>
      </c>
      <c r="N169" s="3" t="s">
        <v>0</v>
      </c>
    </row>
    <row r="170" spans="1:14" x14ac:dyDescent="0.3">
      <c r="A170" s="1" t="s">
        <v>602</v>
      </c>
      <c r="B170" s="1" t="s">
        <v>227</v>
      </c>
      <c r="C170" s="2" t="s">
        <v>13</v>
      </c>
      <c r="D170" s="3" t="s">
        <v>712</v>
      </c>
      <c r="E170" s="4">
        <v>72990</v>
      </c>
      <c r="F170" s="4">
        <v>59072</v>
      </c>
      <c r="G170" s="4">
        <v>61990</v>
      </c>
      <c r="H170" s="4">
        <v>50170</v>
      </c>
      <c r="I170" s="4">
        <v>11000</v>
      </c>
      <c r="J170" s="4">
        <v>8902</v>
      </c>
      <c r="K170" s="3" t="s">
        <v>677</v>
      </c>
      <c r="L170" s="3" t="s">
        <v>710</v>
      </c>
      <c r="M170" s="4" t="s">
        <v>0</v>
      </c>
      <c r="N170" s="3" t="s">
        <v>0</v>
      </c>
    </row>
    <row r="171" spans="1:14" x14ac:dyDescent="0.3">
      <c r="A171" s="1" t="s">
        <v>602</v>
      </c>
      <c r="B171" s="1" t="s">
        <v>228</v>
      </c>
      <c r="C171" s="2" t="s">
        <v>11</v>
      </c>
      <c r="D171" s="3" t="s">
        <v>712</v>
      </c>
      <c r="E171" s="4">
        <v>72990</v>
      </c>
      <c r="F171" s="4">
        <v>59072</v>
      </c>
      <c r="G171" s="4">
        <v>61990</v>
      </c>
      <c r="H171" s="4">
        <v>50170</v>
      </c>
      <c r="I171" s="4">
        <v>11000</v>
      </c>
      <c r="J171" s="4">
        <v>8902</v>
      </c>
      <c r="K171" s="3" t="s">
        <v>677</v>
      </c>
      <c r="L171" s="3" t="s">
        <v>710</v>
      </c>
      <c r="M171" s="4" t="s">
        <v>0</v>
      </c>
      <c r="N171" s="3" t="s">
        <v>0</v>
      </c>
    </row>
    <row r="172" spans="1:14" x14ac:dyDescent="0.3">
      <c r="A172" s="1" t="s">
        <v>602</v>
      </c>
      <c r="B172" s="1" t="s">
        <v>229</v>
      </c>
      <c r="C172" s="2" t="s">
        <v>31</v>
      </c>
      <c r="D172" s="3" t="s">
        <v>712</v>
      </c>
      <c r="E172" s="4">
        <v>72990</v>
      </c>
      <c r="F172" s="4">
        <v>59072</v>
      </c>
      <c r="G172" s="4">
        <v>61990</v>
      </c>
      <c r="H172" s="4">
        <v>50170</v>
      </c>
      <c r="I172" s="4">
        <v>11000</v>
      </c>
      <c r="J172" s="4">
        <v>8902</v>
      </c>
      <c r="K172" s="3" t="s">
        <v>677</v>
      </c>
      <c r="L172" s="3" t="s">
        <v>710</v>
      </c>
      <c r="M172" s="4" t="s">
        <v>0</v>
      </c>
      <c r="N172" s="3" t="s">
        <v>0</v>
      </c>
    </row>
    <row r="173" spans="1:14" x14ac:dyDescent="0.3">
      <c r="A173" s="1" t="s">
        <v>602</v>
      </c>
      <c r="B173" s="1" t="s">
        <v>230</v>
      </c>
      <c r="C173" s="2" t="s">
        <v>24</v>
      </c>
      <c r="D173" s="3" t="s">
        <v>712</v>
      </c>
      <c r="E173" s="4">
        <v>72990</v>
      </c>
      <c r="F173" s="4">
        <v>59072</v>
      </c>
      <c r="G173" s="4">
        <v>61990</v>
      </c>
      <c r="H173" s="4">
        <v>50170</v>
      </c>
      <c r="I173" s="4">
        <v>11000</v>
      </c>
      <c r="J173" s="4">
        <v>8902</v>
      </c>
      <c r="K173" s="3" t="s">
        <v>677</v>
      </c>
      <c r="L173" s="3" t="s">
        <v>710</v>
      </c>
      <c r="M173" s="4" t="s">
        <v>0</v>
      </c>
      <c r="N173" s="3" t="s">
        <v>0</v>
      </c>
    </row>
    <row r="174" spans="1:14" x14ac:dyDescent="0.3">
      <c r="A174" s="1" t="s">
        <v>602</v>
      </c>
      <c r="B174" s="1" t="s">
        <v>231</v>
      </c>
      <c r="C174" s="2" t="s">
        <v>2</v>
      </c>
      <c r="D174" s="3" t="s">
        <v>712</v>
      </c>
      <c r="E174" s="4">
        <v>72990</v>
      </c>
      <c r="F174" s="4">
        <v>59072</v>
      </c>
      <c r="G174" s="4">
        <v>61990</v>
      </c>
      <c r="H174" s="4">
        <v>50170</v>
      </c>
      <c r="I174" s="4">
        <v>11000</v>
      </c>
      <c r="J174" s="4">
        <v>8902</v>
      </c>
      <c r="K174" s="3" t="s">
        <v>677</v>
      </c>
      <c r="L174" s="3" t="s">
        <v>710</v>
      </c>
      <c r="M174" s="4" t="s">
        <v>0</v>
      </c>
      <c r="N174" s="3" t="s">
        <v>0</v>
      </c>
    </row>
    <row r="175" spans="1:14" x14ac:dyDescent="0.3">
      <c r="A175" s="1" t="s">
        <v>601</v>
      </c>
      <c r="B175" s="1" t="s">
        <v>222</v>
      </c>
      <c r="C175" s="2" t="s">
        <v>16</v>
      </c>
      <c r="D175" s="3" t="s">
        <v>711</v>
      </c>
      <c r="E175" s="4">
        <v>72990</v>
      </c>
      <c r="F175" s="4">
        <v>59072</v>
      </c>
      <c r="G175" s="4">
        <v>61990</v>
      </c>
      <c r="H175" s="4">
        <v>50170</v>
      </c>
      <c r="I175" s="4">
        <v>11000</v>
      </c>
      <c r="J175" s="4">
        <v>8902</v>
      </c>
      <c r="K175" s="3" t="s">
        <v>677</v>
      </c>
      <c r="L175" s="3" t="s">
        <v>710</v>
      </c>
      <c r="M175" s="4" t="s">
        <v>0</v>
      </c>
      <c r="N175" s="3" t="s">
        <v>0</v>
      </c>
    </row>
    <row r="176" spans="1:14" x14ac:dyDescent="0.3">
      <c r="A176" s="1" t="s">
        <v>658</v>
      </c>
      <c r="B176" s="1" t="s">
        <v>669</v>
      </c>
      <c r="C176" s="2" t="s">
        <v>13</v>
      </c>
      <c r="D176" s="3" t="s">
        <v>780</v>
      </c>
      <c r="E176" s="4">
        <v>67990</v>
      </c>
      <c r="F176" s="4">
        <v>55026</v>
      </c>
      <c r="G176" s="4">
        <v>61990</v>
      </c>
      <c r="H176" s="4">
        <v>50170</v>
      </c>
      <c r="I176" s="4">
        <v>6000</v>
      </c>
      <c r="J176" s="4">
        <v>4856</v>
      </c>
      <c r="K176" s="3" t="s">
        <v>680</v>
      </c>
      <c r="L176" s="3" t="s">
        <v>681</v>
      </c>
      <c r="M176" s="4" t="s">
        <v>0</v>
      </c>
      <c r="N176" s="3" t="s">
        <v>0</v>
      </c>
    </row>
    <row r="177" spans="1:14" x14ac:dyDescent="0.3">
      <c r="A177" s="8" t="s">
        <v>914</v>
      </c>
      <c r="B177" s="8" t="s">
        <v>854</v>
      </c>
      <c r="C177" s="8" t="s">
        <v>815</v>
      </c>
      <c r="D177" s="3" t="s">
        <v>739</v>
      </c>
      <c r="G177" s="4">
        <v>62000</v>
      </c>
      <c r="H177" s="4">
        <v>46583</v>
      </c>
      <c r="J177" s="4">
        <v>5099</v>
      </c>
      <c r="K177" s="3" t="str">
        <f>IFERROR(VLOOKUP(A177,[1]Sheet5!$C:$O,12,0),"00")</f>
        <v>01 - 29 MARCH</v>
      </c>
      <c r="L177" s="3" t="str">
        <f>IFERROR(VLOOKUP(A177,[1]Sheet5!$C:$O,13,0),"00")</f>
        <v>(NB20260315)_Mar_Sellout Support_RF _Asus_Select</v>
      </c>
    </row>
    <row r="178" spans="1:14" x14ac:dyDescent="0.3">
      <c r="A178" s="8" t="s">
        <v>913</v>
      </c>
      <c r="B178" s="8" t="s">
        <v>852</v>
      </c>
      <c r="C178" s="8" t="s">
        <v>828</v>
      </c>
      <c r="D178" s="3" t="s">
        <v>961</v>
      </c>
      <c r="G178" s="4">
        <v>62000</v>
      </c>
      <c r="H178" s="4">
        <v>48282</v>
      </c>
      <c r="J178" s="4">
        <v>2266</v>
      </c>
      <c r="K178" s="3" t="str">
        <f>IFERROR(VLOOKUP(A178,[1]Sheet5!$C:$O,12,0),"00")</f>
        <v>01 - 29 MARCH</v>
      </c>
      <c r="L178" s="3" t="str">
        <f>IFERROR(VLOOKUP(A178,[1]Sheet5!$C:$O,13,0),"00")</f>
        <v>(NB20260315)_Mar_Sellout Support_RF _Asus_Select</v>
      </c>
    </row>
    <row r="179" spans="1:14" x14ac:dyDescent="0.3">
      <c r="A179" s="8" t="s">
        <v>913</v>
      </c>
      <c r="B179" s="8" t="s">
        <v>853</v>
      </c>
      <c r="C179" s="8" t="s">
        <v>822</v>
      </c>
      <c r="D179" s="3" t="s">
        <v>961</v>
      </c>
      <c r="G179" s="4">
        <v>62000</v>
      </c>
      <c r="H179" s="4">
        <v>48282</v>
      </c>
      <c r="J179" s="4">
        <v>2266</v>
      </c>
      <c r="K179" s="3" t="str">
        <f>IFERROR(VLOOKUP(A179,[1]Sheet5!$C:$O,12,0),"00")</f>
        <v>01 - 29 MARCH</v>
      </c>
      <c r="L179" s="3" t="str">
        <f>IFERROR(VLOOKUP(A179,[1]Sheet5!$C:$O,13,0),"00")</f>
        <v>(NB20260315)_Mar_Sellout Support_RF _Asus_Select</v>
      </c>
    </row>
    <row r="180" spans="1:14" x14ac:dyDescent="0.3">
      <c r="A180" s="1" t="s">
        <v>594</v>
      </c>
      <c r="B180" s="1" t="s">
        <v>197</v>
      </c>
      <c r="C180" s="2" t="s">
        <v>18</v>
      </c>
      <c r="D180" s="3" t="s">
        <v>701</v>
      </c>
      <c r="E180" s="4">
        <v>64990</v>
      </c>
      <c r="F180" s="4">
        <v>52598</v>
      </c>
      <c r="G180" s="4">
        <v>62990</v>
      </c>
      <c r="H180" s="4">
        <v>50979</v>
      </c>
      <c r="I180" s="4">
        <v>2000</v>
      </c>
      <c r="J180" s="4">
        <v>1619</v>
      </c>
      <c r="K180" s="3" t="s">
        <v>677</v>
      </c>
      <c r="L180" s="3" t="s">
        <v>702</v>
      </c>
      <c r="M180" s="4" t="s">
        <v>0</v>
      </c>
      <c r="N180" s="3" t="s">
        <v>0</v>
      </c>
    </row>
    <row r="181" spans="1:14" x14ac:dyDescent="0.3">
      <c r="A181" s="1" t="s">
        <v>596</v>
      </c>
      <c r="B181" s="1" t="s">
        <v>199</v>
      </c>
      <c r="C181" s="2" t="s">
        <v>2</v>
      </c>
      <c r="D181" s="3" t="s">
        <v>704</v>
      </c>
      <c r="E181" s="4">
        <v>70990</v>
      </c>
      <c r="F181" s="4">
        <v>57454</v>
      </c>
      <c r="G181" s="4">
        <v>62990</v>
      </c>
      <c r="H181" s="4">
        <v>50979</v>
      </c>
      <c r="I181" s="4">
        <v>8000</v>
      </c>
      <c r="J181" s="4">
        <v>6475</v>
      </c>
      <c r="K181" s="3" t="s">
        <v>680</v>
      </c>
      <c r="L181" s="3" t="s">
        <v>705</v>
      </c>
      <c r="M181" s="4" t="s">
        <v>0</v>
      </c>
      <c r="N181" s="3" t="s">
        <v>0</v>
      </c>
    </row>
    <row r="182" spans="1:14" x14ac:dyDescent="0.3">
      <c r="A182" s="1" t="s">
        <v>596</v>
      </c>
      <c r="B182" s="1" t="s">
        <v>200</v>
      </c>
      <c r="C182" s="2" t="s">
        <v>31</v>
      </c>
      <c r="D182" s="3" t="s">
        <v>704</v>
      </c>
      <c r="E182" s="4">
        <v>70990</v>
      </c>
      <c r="F182" s="4">
        <v>57454</v>
      </c>
      <c r="G182" s="4">
        <v>62990</v>
      </c>
      <c r="H182" s="4">
        <v>50979</v>
      </c>
      <c r="I182" s="4">
        <v>8000</v>
      </c>
      <c r="J182" s="4">
        <v>6475</v>
      </c>
      <c r="K182" s="3" t="s">
        <v>680</v>
      </c>
      <c r="L182" s="3" t="s">
        <v>705</v>
      </c>
      <c r="M182" s="4" t="s">
        <v>0</v>
      </c>
      <c r="N182" s="3" t="s">
        <v>0</v>
      </c>
    </row>
    <row r="183" spans="1:14" x14ac:dyDescent="0.3">
      <c r="A183" s="1" t="s">
        <v>596</v>
      </c>
      <c r="B183" s="1" t="s">
        <v>201</v>
      </c>
      <c r="C183" s="2" t="s">
        <v>666</v>
      </c>
      <c r="D183" s="3" t="s">
        <v>704</v>
      </c>
      <c r="E183" s="4">
        <v>70990</v>
      </c>
      <c r="F183" s="4">
        <v>57454</v>
      </c>
      <c r="G183" s="4">
        <v>62990</v>
      </c>
      <c r="H183" s="4">
        <v>50979</v>
      </c>
      <c r="I183" s="4">
        <v>8000</v>
      </c>
      <c r="J183" s="4">
        <v>6475</v>
      </c>
      <c r="K183" s="3" t="s">
        <v>680</v>
      </c>
      <c r="L183" s="3" t="s">
        <v>705</v>
      </c>
      <c r="M183" s="4" t="s">
        <v>0</v>
      </c>
      <c r="N183" s="3" t="s">
        <v>0</v>
      </c>
    </row>
    <row r="184" spans="1:14" x14ac:dyDescent="0.3">
      <c r="A184" s="1" t="s">
        <v>596</v>
      </c>
      <c r="B184" s="1" t="s">
        <v>202</v>
      </c>
      <c r="C184" s="2" t="s">
        <v>2</v>
      </c>
      <c r="D184" s="3" t="s">
        <v>704</v>
      </c>
      <c r="E184" s="4">
        <v>70990</v>
      </c>
      <c r="F184" s="4">
        <v>57454</v>
      </c>
      <c r="G184" s="4">
        <v>62990</v>
      </c>
      <c r="H184" s="4">
        <v>50979</v>
      </c>
      <c r="I184" s="4">
        <v>8000</v>
      </c>
      <c r="J184" s="4">
        <v>6475</v>
      </c>
      <c r="K184" s="3" t="s">
        <v>680</v>
      </c>
      <c r="L184" s="3" t="s">
        <v>705</v>
      </c>
      <c r="M184" s="4" t="s">
        <v>0</v>
      </c>
      <c r="N184" s="3" t="s">
        <v>0</v>
      </c>
    </row>
    <row r="185" spans="1:14" x14ac:dyDescent="0.3">
      <c r="A185" s="1" t="s">
        <v>596</v>
      </c>
      <c r="B185" s="1" t="s">
        <v>203</v>
      </c>
      <c r="C185" s="2" t="s">
        <v>666</v>
      </c>
      <c r="D185" s="3" t="s">
        <v>704</v>
      </c>
      <c r="E185" s="4">
        <v>70990</v>
      </c>
      <c r="F185" s="4">
        <v>57454</v>
      </c>
      <c r="G185" s="4">
        <v>62990</v>
      </c>
      <c r="H185" s="4">
        <v>50979</v>
      </c>
      <c r="I185" s="4">
        <v>8000</v>
      </c>
      <c r="J185" s="4">
        <v>6475</v>
      </c>
      <c r="K185" s="3" t="s">
        <v>680</v>
      </c>
      <c r="L185" s="3" t="s">
        <v>705</v>
      </c>
      <c r="M185" s="4" t="s">
        <v>0</v>
      </c>
      <c r="N185" s="3" t="s">
        <v>0</v>
      </c>
    </row>
    <row r="186" spans="1:14" x14ac:dyDescent="0.3">
      <c r="A186" s="1" t="s">
        <v>596</v>
      </c>
      <c r="B186" s="1" t="s">
        <v>204</v>
      </c>
      <c r="C186" s="2" t="s">
        <v>2</v>
      </c>
      <c r="D186" s="3" t="s">
        <v>704</v>
      </c>
      <c r="E186" s="4">
        <v>70990</v>
      </c>
      <c r="F186" s="4">
        <v>57454</v>
      </c>
      <c r="G186" s="4">
        <v>62990</v>
      </c>
      <c r="H186" s="4">
        <v>50979</v>
      </c>
      <c r="I186" s="4">
        <v>8000</v>
      </c>
      <c r="J186" s="4">
        <v>6475</v>
      </c>
      <c r="K186" s="3" t="s">
        <v>680</v>
      </c>
      <c r="L186" s="3" t="s">
        <v>705</v>
      </c>
      <c r="M186" s="4" t="s">
        <v>0</v>
      </c>
      <c r="N186" s="3" t="s">
        <v>0</v>
      </c>
    </row>
    <row r="187" spans="1:14" x14ac:dyDescent="0.3">
      <c r="A187" s="1" t="s">
        <v>596</v>
      </c>
      <c r="B187" s="1" t="s">
        <v>205</v>
      </c>
      <c r="C187" s="2" t="s">
        <v>18</v>
      </c>
      <c r="D187" s="3" t="s">
        <v>704</v>
      </c>
      <c r="E187" s="4">
        <v>70990</v>
      </c>
      <c r="F187" s="4">
        <v>57454</v>
      </c>
      <c r="G187" s="4">
        <v>62990</v>
      </c>
      <c r="H187" s="4">
        <v>50979</v>
      </c>
      <c r="I187" s="4">
        <v>8000</v>
      </c>
      <c r="J187" s="4">
        <v>6475</v>
      </c>
      <c r="K187" s="3" t="s">
        <v>680</v>
      </c>
      <c r="L187" s="3" t="s">
        <v>705</v>
      </c>
      <c r="M187" s="4" t="s">
        <v>0</v>
      </c>
      <c r="N187" s="3" t="s">
        <v>0</v>
      </c>
    </row>
    <row r="188" spans="1:14" x14ac:dyDescent="0.3">
      <c r="A188" s="8" t="s">
        <v>915</v>
      </c>
      <c r="B188" s="8" t="s">
        <v>855</v>
      </c>
      <c r="C188" s="8" t="s">
        <v>815</v>
      </c>
      <c r="D188" s="3" t="s">
        <v>962</v>
      </c>
      <c r="G188" s="4">
        <v>63000</v>
      </c>
      <c r="H188" s="4">
        <v>48605</v>
      </c>
      <c r="J188" s="4">
        <v>4533</v>
      </c>
      <c r="K188" s="3" t="str">
        <f>IFERROR(VLOOKUP(A188,[1]Sheet5!$C:$O,12,0),"00")</f>
        <v>01 - 29 MARCH</v>
      </c>
      <c r="L188" s="3" t="str">
        <f>IFERROR(VLOOKUP(A188,[1]Sheet5!$C:$O,13,0),"00")</f>
        <v>(NB20260315)_Mar_Sellout Support_RF _Asus_Select</v>
      </c>
    </row>
    <row r="189" spans="1:14" x14ac:dyDescent="0.3">
      <c r="A189" s="8" t="s">
        <v>915</v>
      </c>
      <c r="B189" s="8" t="s">
        <v>856</v>
      </c>
      <c r="C189" s="8" t="s">
        <v>815</v>
      </c>
      <c r="D189" s="3" t="s">
        <v>962</v>
      </c>
      <c r="G189" s="4">
        <v>63000</v>
      </c>
      <c r="H189" s="4">
        <v>48605</v>
      </c>
      <c r="J189" s="4">
        <v>4533</v>
      </c>
      <c r="K189" s="3" t="str">
        <f>IFERROR(VLOOKUP(A189,[1]Sheet5!$C:$O,12,0),"00")</f>
        <v>01 - 29 MARCH</v>
      </c>
      <c r="L189" s="3" t="str">
        <f>IFERROR(VLOOKUP(A189,[1]Sheet5!$C:$O,13,0),"00")</f>
        <v>(NB20260315)_Mar_Sellout Support_RF _Asus_Select</v>
      </c>
    </row>
    <row r="190" spans="1:14" x14ac:dyDescent="0.3">
      <c r="A190" s="8" t="s">
        <v>915</v>
      </c>
      <c r="B190" s="8" t="s">
        <v>857</v>
      </c>
      <c r="C190" s="8" t="s">
        <v>815</v>
      </c>
      <c r="D190" s="3" t="s">
        <v>962</v>
      </c>
      <c r="G190" s="4">
        <v>63000</v>
      </c>
      <c r="H190" s="4">
        <v>48605</v>
      </c>
      <c r="J190" s="4">
        <v>4533</v>
      </c>
      <c r="K190" s="3" t="str">
        <f>IFERROR(VLOOKUP(A190,[1]Sheet5!$C:$O,12,0),"00")</f>
        <v>01 - 29 MARCH</v>
      </c>
      <c r="L190" s="3" t="str">
        <f>IFERROR(VLOOKUP(A190,[1]Sheet5!$C:$O,13,0),"00")</f>
        <v>(NB20260315)_Mar_Sellout Support_RF _Asus_Select</v>
      </c>
    </row>
    <row r="191" spans="1:14" x14ac:dyDescent="0.3">
      <c r="A191" s="8" t="s">
        <v>916</v>
      </c>
      <c r="B191" s="8" t="s">
        <v>858</v>
      </c>
      <c r="C191" s="8" t="s">
        <v>815</v>
      </c>
      <c r="D191" s="3" t="s">
        <v>719</v>
      </c>
      <c r="G191" s="4">
        <v>63000</v>
      </c>
      <c r="H191" s="4">
        <v>48605</v>
      </c>
      <c r="J191" s="4">
        <v>4533</v>
      </c>
      <c r="K191" s="3" t="str">
        <f>IFERROR(VLOOKUP(A191,[1]Sheet5!$C:$O,12,0),"00")</f>
        <v>01 - 29 MARCH</v>
      </c>
      <c r="L191" s="3" t="str">
        <f>IFERROR(VLOOKUP(A191,[1]Sheet5!$C:$O,13,0),"00")</f>
        <v>(NB20260315)_Mar_Sellout Support_RF _Asus_Select</v>
      </c>
    </row>
    <row r="192" spans="1:14" x14ac:dyDescent="0.3">
      <c r="A192" s="1" t="s">
        <v>614</v>
      </c>
      <c r="B192" s="1" t="s">
        <v>284</v>
      </c>
      <c r="C192" s="2" t="s">
        <v>2</v>
      </c>
      <c r="D192" s="3" t="s">
        <v>730</v>
      </c>
      <c r="E192" s="4">
        <v>66990</v>
      </c>
      <c r="F192" s="4">
        <v>54216</v>
      </c>
      <c r="G192" s="4">
        <v>63990</v>
      </c>
      <c r="H192" s="4">
        <v>51789</v>
      </c>
      <c r="I192" s="4">
        <v>3000</v>
      </c>
      <c r="J192" s="4">
        <v>2427</v>
      </c>
      <c r="K192" s="3" t="s">
        <v>677</v>
      </c>
      <c r="L192" s="3" t="s">
        <v>710</v>
      </c>
      <c r="M192" s="4" t="s">
        <v>0</v>
      </c>
      <c r="N192" s="3" t="s">
        <v>0</v>
      </c>
    </row>
    <row r="193" spans="1:14" x14ac:dyDescent="0.3">
      <c r="A193" s="1" t="s">
        <v>614</v>
      </c>
      <c r="B193" s="1" t="s">
        <v>285</v>
      </c>
      <c r="C193" s="2" t="s">
        <v>2</v>
      </c>
      <c r="D193" s="3" t="s">
        <v>730</v>
      </c>
      <c r="E193" s="4">
        <v>66990</v>
      </c>
      <c r="F193" s="4">
        <v>54216</v>
      </c>
      <c r="G193" s="4">
        <v>63990</v>
      </c>
      <c r="H193" s="4">
        <v>51789</v>
      </c>
      <c r="I193" s="4">
        <v>3000</v>
      </c>
      <c r="J193" s="4">
        <v>2427</v>
      </c>
      <c r="K193" s="3" t="s">
        <v>677</v>
      </c>
      <c r="L193" s="3" t="s">
        <v>710</v>
      </c>
      <c r="M193" s="4" t="s">
        <v>0</v>
      </c>
      <c r="N193" s="3" t="s">
        <v>0</v>
      </c>
    </row>
    <row r="194" spans="1:14" x14ac:dyDescent="0.3">
      <c r="A194" s="1" t="s">
        <v>614</v>
      </c>
      <c r="B194" s="1" t="s">
        <v>286</v>
      </c>
      <c r="C194" s="2" t="s">
        <v>2</v>
      </c>
      <c r="D194" s="3" t="s">
        <v>730</v>
      </c>
      <c r="E194" s="4">
        <v>66990</v>
      </c>
      <c r="F194" s="4">
        <v>54216</v>
      </c>
      <c r="G194" s="4">
        <v>63990</v>
      </c>
      <c r="H194" s="4">
        <v>51789</v>
      </c>
      <c r="I194" s="4">
        <v>3000</v>
      </c>
      <c r="J194" s="4">
        <v>2427</v>
      </c>
      <c r="K194" s="3" t="s">
        <v>677</v>
      </c>
      <c r="L194" s="3" t="s">
        <v>710</v>
      </c>
      <c r="M194" s="4" t="s">
        <v>0</v>
      </c>
      <c r="N194" s="3" t="s">
        <v>0</v>
      </c>
    </row>
    <row r="195" spans="1:14" x14ac:dyDescent="0.3">
      <c r="A195" s="1" t="s">
        <v>614</v>
      </c>
      <c r="B195" s="1" t="s">
        <v>287</v>
      </c>
      <c r="C195" s="2" t="s">
        <v>67</v>
      </c>
      <c r="D195" s="3" t="s">
        <v>730</v>
      </c>
      <c r="E195" s="4">
        <v>66990</v>
      </c>
      <c r="F195" s="4">
        <v>54216</v>
      </c>
      <c r="G195" s="4">
        <v>63990</v>
      </c>
      <c r="H195" s="4">
        <v>51789</v>
      </c>
      <c r="I195" s="4">
        <v>3000</v>
      </c>
      <c r="J195" s="4">
        <v>2427</v>
      </c>
      <c r="K195" s="3" t="s">
        <v>677</v>
      </c>
      <c r="L195" s="3" t="s">
        <v>710</v>
      </c>
      <c r="M195" s="4" t="s">
        <v>0</v>
      </c>
      <c r="N195" s="3" t="s">
        <v>0</v>
      </c>
    </row>
    <row r="196" spans="1:14" x14ac:dyDescent="0.3">
      <c r="A196" s="1" t="s">
        <v>614</v>
      </c>
      <c r="B196" s="1" t="s">
        <v>288</v>
      </c>
      <c r="C196" s="2" t="s">
        <v>31</v>
      </c>
      <c r="D196" s="3" t="s">
        <v>730</v>
      </c>
      <c r="E196" s="4">
        <v>66990</v>
      </c>
      <c r="F196" s="4">
        <v>54216</v>
      </c>
      <c r="G196" s="4">
        <v>63990</v>
      </c>
      <c r="H196" s="4">
        <v>51789</v>
      </c>
      <c r="I196" s="4">
        <v>3000</v>
      </c>
      <c r="J196" s="4">
        <v>2427</v>
      </c>
      <c r="K196" s="3" t="s">
        <v>677</v>
      </c>
      <c r="L196" s="3" t="s">
        <v>710</v>
      </c>
      <c r="M196" s="4" t="s">
        <v>0</v>
      </c>
      <c r="N196" s="3" t="s">
        <v>0</v>
      </c>
    </row>
    <row r="197" spans="1:14" x14ac:dyDescent="0.3">
      <c r="A197" s="1" t="s">
        <v>614</v>
      </c>
      <c r="B197" s="1" t="s">
        <v>289</v>
      </c>
      <c r="C197" s="2" t="s">
        <v>16</v>
      </c>
      <c r="D197" s="3" t="s">
        <v>730</v>
      </c>
      <c r="E197" s="4">
        <v>66990</v>
      </c>
      <c r="F197" s="4">
        <v>54216</v>
      </c>
      <c r="G197" s="4">
        <v>63990</v>
      </c>
      <c r="H197" s="4">
        <v>51789</v>
      </c>
      <c r="I197" s="4">
        <v>3000</v>
      </c>
      <c r="J197" s="4">
        <v>2427</v>
      </c>
      <c r="K197" s="3" t="s">
        <v>677</v>
      </c>
      <c r="L197" s="3" t="s">
        <v>710</v>
      </c>
      <c r="M197" s="4" t="s">
        <v>0</v>
      </c>
      <c r="N197" s="3" t="s">
        <v>0</v>
      </c>
    </row>
    <row r="198" spans="1:14" x14ac:dyDescent="0.3">
      <c r="A198" s="1" t="s">
        <v>613</v>
      </c>
      <c r="B198" s="1" t="s">
        <v>278</v>
      </c>
      <c r="C198" s="2" t="s">
        <v>4</v>
      </c>
      <c r="D198" s="3" t="s">
        <v>729</v>
      </c>
      <c r="E198" s="4">
        <v>66990</v>
      </c>
      <c r="F198" s="4">
        <v>54216</v>
      </c>
      <c r="G198" s="4">
        <v>63990</v>
      </c>
      <c r="H198" s="4">
        <v>51789</v>
      </c>
      <c r="I198" s="4">
        <v>3000</v>
      </c>
      <c r="J198" s="4">
        <v>2427</v>
      </c>
      <c r="K198" s="3" t="s">
        <v>677</v>
      </c>
      <c r="L198" s="3" t="s">
        <v>710</v>
      </c>
      <c r="M198" s="4" t="s">
        <v>0</v>
      </c>
      <c r="N198" s="3" t="s">
        <v>0</v>
      </c>
    </row>
    <row r="199" spans="1:14" x14ac:dyDescent="0.3">
      <c r="A199" s="1" t="s">
        <v>613</v>
      </c>
      <c r="B199" s="1" t="s">
        <v>279</v>
      </c>
      <c r="C199" s="2" t="s">
        <v>51</v>
      </c>
      <c r="D199" s="3" t="s">
        <v>729</v>
      </c>
      <c r="E199" s="4">
        <v>66990</v>
      </c>
      <c r="F199" s="4">
        <v>54216</v>
      </c>
      <c r="G199" s="4">
        <v>63990</v>
      </c>
      <c r="H199" s="4">
        <v>51789</v>
      </c>
      <c r="I199" s="4">
        <v>3000</v>
      </c>
      <c r="J199" s="4">
        <v>2427</v>
      </c>
      <c r="K199" s="3" t="s">
        <v>677</v>
      </c>
      <c r="L199" s="3" t="s">
        <v>710</v>
      </c>
      <c r="M199" s="4" t="s">
        <v>0</v>
      </c>
      <c r="N199" s="3" t="s">
        <v>0</v>
      </c>
    </row>
    <row r="200" spans="1:14" x14ac:dyDescent="0.3">
      <c r="A200" s="1" t="s">
        <v>613</v>
      </c>
      <c r="B200" s="1" t="s">
        <v>280</v>
      </c>
      <c r="C200" s="2" t="s">
        <v>54</v>
      </c>
      <c r="D200" s="3" t="s">
        <v>729</v>
      </c>
      <c r="E200" s="4">
        <v>66990</v>
      </c>
      <c r="F200" s="4">
        <v>54216</v>
      </c>
      <c r="G200" s="4">
        <v>63990</v>
      </c>
      <c r="H200" s="4">
        <v>51789</v>
      </c>
      <c r="I200" s="4">
        <v>3000</v>
      </c>
      <c r="J200" s="4">
        <v>2427</v>
      </c>
      <c r="K200" s="3" t="s">
        <v>677</v>
      </c>
      <c r="L200" s="3" t="s">
        <v>710</v>
      </c>
      <c r="M200" s="4" t="s">
        <v>0</v>
      </c>
      <c r="N200" s="3" t="s">
        <v>0</v>
      </c>
    </row>
    <row r="201" spans="1:14" x14ac:dyDescent="0.3">
      <c r="A201" s="1" t="s">
        <v>613</v>
      </c>
      <c r="B201" s="1" t="s">
        <v>281</v>
      </c>
      <c r="C201" s="2" t="s">
        <v>67</v>
      </c>
      <c r="D201" s="3" t="s">
        <v>729</v>
      </c>
      <c r="E201" s="4">
        <v>66990</v>
      </c>
      <c r="F201" s="4">
        <v>54216</v>
      </c>
      <c r="G201" s="4">
        <v>63990</v>
      </c>
      <c r="H201" s="4">
        <v>51789</v>
      </c>
      <c r="I201" s="4">
        <v>3000</v>
      </c>
      <c r="J201" s="4">
        <v>2427</v>
      </c>
      <c r="K201" s="3" t="s">
        <v>677</v>
      </c>
      <c r="L201" s="3" t="s">
        <v>710</v>
      </c>
      <c r="M201" s="4" t="s">
        <v>0</v>
      </c>
      <c r="N201" s="3" t="s">
        <v>0</v>
      </c>
    </row>
    <row r="202" spans="1:14" x14ac:dyDescent="0.3">
      <c r="A202" s="1" t="s">
        <v>613</v>
      </c>
      <c r="B202" s="1" t="s">
        <v>282</v>
      </c>
      <c r="C202" s="2" t="s">
        <v>18</v>
      </c>
      <c r="D202" s="3" t="s">
        <v>729</v>
      </c>
      <c r="E202" s="4">
        <v>66990</v>
      </c>
      <c r="F202" s="4">
        <v>54216</v>
      </c>
      <c r="G202" s="4">
        <v>63990</v>
      </c>
      <c r="H202" s="4">
        <v>51789</v>
      </c>
      <c r="I202" s="4">
        <v>3000</v>
      </c>
      <c r="J202" s="4">
        <v>2427</v>
      </c>
      <c r="K202" s="3" t="s">
        <v>677</v>
      </c>
      <c r="L202" s="3" t="s">
        <v>710</v>
      </c>
      <c r="M202" s="4" t="s">
        <v>0</v>
      </c>
      <c r="N202" s="3" t="s">
        <v>0</v>
      </c>
    </row>
    <row r="203" spans="1:14" x14ac:dyDescent="0.3">
      <c r="A203" s="1" t="s">
        <v>613</v>
      </c>
      <c r="B203" s="1" t="s">
        <v>283</v>
      </c>
      <c r="C203" s="2" t="s">
        <v>2</v>
      </c>
      <c r="D203" s="3" t="s">
        <v>729</v>
      </c>
      <c r="E203" s="4">
        <v>66990</v>
      </c>
      <c r="F203" s="4">
        <v>54216</v>
      </c>
      <c r="G203" s="4">
        <v>63990</v>
      </c>
      <c r="H203" s="4">
        <v>51789</v>
      </c>
      <c r="I203" s="4">
        <v>3000</v>
      </c>
      <c r="J203" s="4">
        <v>2427</v>
      </c>
      <c r="K203" s="3" t="s">
        <v>677</v>
      </c>
      <c r="L203" s="3" t="s">
        <v>710</v>
      </c>
      <c r="M203" s="4" t="s">
        <v>0</v>
      </c>
      <c r="N203" s="3" t="s">
        <v>0</v>
      </c>
    </row>
    <row r="204" spans="1:14" x14ac:dyDescent="0.3">
      <c r="A204" s="8" t="s">
        <v>917</v>
      </c>
      <c r="B204" s="8" t="s">
        <v>859</v>
      </c>
      <c r="C204" s="8" t="s">
        <v>822</v>
      </c>
      <c r="D204" s="3" t="s">
        <v>743</v>
      </c>
      <c r="G204" s="4">
        <v>64000</v>
      </c>
      <c r="H204" s="4">
        <v>49132</v>
      </c>
      <c r="J204" s="4">
        <v>5382</v>
      </c>
      <c r="K204" s="3" t="str">
        <f>IFERROR(VLOOKUP(A204,[1]Sheet5!$C:$O,12,0),"00")</f>
        <v>01 - 29 MARCH</v>
      </c>
      <c r="L204" s="3" t="str">
        <f>IFERROR(VLOOKUP(A204,[1]Sheet5!$C:$O,13,0),"00")</f>
        <v>(NB20260315)_Mar_Sellout Support_RF _Asus_Select</v>
      </c>
    </row>
    <row r="205" spans="1:14" x14ac:dyDescent="0.3">
      <c r="A205" s="1" t="s">
        <v>545</v>
      </c>
      <c r="B205" s="1" t="s">
        <v>510</v>
      </c>
      <c r="C205" s="2" t="s">
        <v>54</v>
      </c>
      <c r="D205" s="3" t="s">
        <v>759</v>
      </c>
      <c r="E205" s="4">
        <v>65490</v>
      </c>
      <c r="F205" s="4">
        <v>53003</v>
      </c>
      <c r="G205" s="4">
        <v>64490</v>
      </c>
      <c r="H205" s="4">
        <v>52193</v>
      </c>
      <c r="I205" s="4">
        <v>1000</v>
      </c>
      <c r="J205" s="4">
        <v>810</v>
      </c>
      <c r="K205" s="3" t="s">
        <v>680</v>
      </c>
      <c r="L205" s="3" t="s">
        <v>757</v>
      </c>
      <c r="M205" s="4" t="s">
        <v>0</v>
      </c>
      <c r="N205" s="3" t="s">
        <v>0</v>
      </c>
    </row>
    <row r="206" spans="1:14" x14ac:dyDescent="0.3">
      <c r="A206" s="1" t="s">
        <v>545</v>
      </c>
      <c r="B206" s="1" t="s">
        <v>511</v>
      </c>
      <c r="C206" s="2" t="s">
        <v>16</v>
      </c>
      <c r="D206" s="3" t="s">
        <v>759</v>
      </c>
      <c r="E206" s="4">
        <v>65490</v>
      </c>
      <c r="F206" s="4">
        <v>53003</v>
      </c>
      <c r="G206" s="4">
        <v>64490</v>
      </c>
      <c r="H206" s="4">
        <v>52193</v>
      </c>
      <c r="I206" s="4">
        <v>1000</v>
      </c>
      <c r="J206" s="4">
        <v>810</v>
      </c>
      <c r="K206" s="3" t="s">
        <v>680</v>
      </c>
      <c r="L206" s="3" t="s">
        <v>757</v>
      </c>
      <c r="M206" s="4" t="s">
        <v>0</v>
      </c>
      <c r="N206" s="3" t="s">
        <v>0</v>
      </c>
    </row>
    <row r="207" spans="1:14" x14ac:dyDescent="0.3">
      <c r="A207" s="1" t="s">
        <v>545</v>
      </c>
      <c r="B207" s="1" t="s">
        <v>512</v>
      </c>
      <c r="C207" s="2" t="s">
        <v>22</v>
      </c>
      <c r="D207" s="3" t="s">
        <v>759</v>
      </c>
      <c r="E207" s="4">
        <v>65490</v>
      </c>
      <c r="F207" s="4">
        <v>53003</v>
      </c>
      <c r="G207" s="4">
        <v>64490</v>
      </c>
      <c r="H207" s="4">
        <v>52193</v>
      </c>
      <c r="I207" s="4">
        <v>1000</v>
      </c>
      <c r="J207" s="4">
        <v>810</v>
      </c>
      <c r="K207" s="3" t="s">
        <v>680</v>
      </c>
      <c r="L207" s="3" t="s">
        <v>757</v>
      </c>
      <c r="M207" s="4" t="s">
        <v>0</v>
      </c>
      <c r="N207" s="3" t="s">
        <v>0</v>
      </c>
    </row>
    <row r="208" spans="1:14" x14ac:dyDescent="0.3">
      <c r="A208" s="1" t="s">
        <v>545</v>
      </c>
      <c r="B208" s="1" t="s">
        <v>513</v>
      </c>
      <c r="C208" s="2" t="s">
        <v>4</v>
      </c>
      <c r="D208" s="3" t="s">
        <v>759</v>
      </c>
      <c r="E208" s="4">
        <v>65490</v>
      </c>
      <c r="F208" s="4">
        <v>53003</v>
      </c>
      <c r="G208" s="4">
        <v>64490</v>
      </c>
      <c r="H208" s="4">
        <v>52193</v>
      </c>
      <c r="I208" s="4">
        <v>1000</v>
      </c>
      <c r="J208" s="4">
        <v>810</v>
      </c>
      <c r="K208" s="3" t="s">
        <v>680</v>
      </c>
      <c r="L208" s="3" t="s">
        <v>757</v>
      </c>
      <c r="M208" s="4" t="s">
        <v>0</v>
      </c>
      <c r="N208" s="3" t="s">
        <v>0</v>
      </c>
    </row>
    <row r="209" spans="1:14" x14ac:dyDescent="0.3">
      <c r="A209" s="1" t="s">
        <v>545</v>
      </c>
      <c r="B209" s="1" t="s">
        <v>514</v>
      </c>
      <c r="C209" s="2" t="s">
        <v>2</v>
      </c>
      <c r="D209" s="3" t="s">
        <v>759</v>
      </c>
      <c r="E209" s="4">
        <v>65490</v>
      </c>
      <c r="F209" s="4">
        <v>53003</v>
      </c>
      <c r="G209" s="4">
        <v>64490</v>
      </c>
      <c r="H209" s="4">
        <v>52193</v>
      </c>
      <c r="I209" s="4">
        <v>1000</v>
      </c>
      <c r="J209" s="4">
        <v>810</v>
      </c>
      <c r="K209" s="3" t="s">
        <v>680</v>
      </c>
      <c r="L209" s="3" t="s">
        <v>757</v>
      </c>
      <c r="M209" s="4" t="s">
        <v>0</v>
      </c>
      <c r="N209" s="3" t="s">
        <v>0</v>
      </c>
    </row>
    <row r="210" spans="1:14" x14ac:dyDescent="0.3">
      <c r="A210" s="1" t="s">
        <v>657</v>
      </c>
      <c r="B210" s="1" t="s">
        <v>473</v>
      </c>
      <c r="C210" s="2" t="s">
        <v>13</v>
      </c>
      <c r="D210" s="3" t="s">
        <v>779</v>
      </c>
      <c r="E210" s="4">
        <v>67990</v>
      </c>
      <c r="F210" s="4">
        <v>55026</v>
      </c>
      <c r="G210" s="4">
        <v>64990</v>
      </c>
      <c r="H210" s="4">
        <v>52598</v>
      </c>
      <c r="I210" s="4">
        <v>3000</v>
      </c>
      <c r="J210" s="4">
        <v>2428</v>
      </c>
      <c r="K210" s="3" t="s">
        <v>680</v>
      </c>
      <c r="L210" s="3" t="s">
        <v>681</v>
      </c>
      <c r="M210" s="4" t="s">
        <v>0</v>
      </c>
      <c r="N210" s="3" t="s">
        <v>0</v>
      </c>
    </row>
    <row r="211" spans="1:14" x14ac:dyDescent="0.3">
      <c r="A211" s="1" t="s">
        <v>657</v>
      </c>
      <c r="B211" s="1" t="s">
        <v>474</v>
      </c>
      <c r="C211" s="2" t="s">
        <v>31</v>
      </c>
      <c r="D211" s="3" t="s">
        <v>779</v>
      </c>
      <c r="E211" s="4">
        <v>67990</v>
      </c>
      <c r="F211" s="4">
        <v>55026</v>
      </c>
      <c r="G211" s="4">
        <v>64990</v>
      </c>
      <c r="H211" s="4">
        <v>52598</v>
      </c>
      <c r="I211" s="4">
        <v>3000</v>
      </c>
      <c r="J211" s="4">
        <v>2428</v>
      </c>
      <c r="K211" s="3" t="s">
        <v>680</v>
      </c>
      <c r="L211" s="3" t="s">
        <v>681</v>
      </c>
      <c r="M211" s="4" t="s">
        <v>0</v>
      </c>
      <c r="N211" s="3" t="s">
        <v>0</v>
      </c>
    </row>
    <row r="212" spans="1:14" x14ac:dyDescent="0.3">
      <c r="A212" s="1" t="s">
        <v>657</v>
      </c>
      <c r="B212" s="1" t="s">
        <v>475</v>
      </c>
      <c r="C212" s="2" t="s">
        <v>13</v>
      </c>
      <c r="D212" s="3" t="s">
        <v>779</v>
      </c>
      <c r="E212" s="4">
        <v>67990</v>
      </c>
      <c r="F212" s="4">
        <v>55026</v>
      </c>
      <c r="G212" s="4">
        <v>64990</v>
      </c>
      <c r="H212" s="4">
        <v>52598</v>
      </c>
      <c r="I212" s="4">
        <v>3000</v>
      </c>
      <c r="J212" s="4">
        <v>2428</v>
      </c>
      <c r="K212" s="3" t="s">
        <v>680</v>
      </c>
      <c r="L212" s="3" t="s">
        <v>681</v>
      </c>
      <c r="M212" s="4" t="s">
        <v>0</v>
      </c>
      <c r="N212" s="3" t="s">
        <v>0</v>
      </c>
    </row>
    <row r="213" spans="1:14" x14ac:dyDescent="0.3">
      <c r="A213" s="8" t="s">
        <v>919</v>
      </c>
      <c r="B213" s="8" t="s">
        <v>861</v>
      </c>
      <c r="C213" s="8" t="s">
        <v>815</v>
      </c>
      <c r="D213" s="3" t="s">
        <v>963</v>
      </c>
      <c r="G213" s="4">
        <v>65000</v>
      </c>
      <c r="H213" s="4">
        <v>49132</v>
      </c>
      <c r="J213" s="4">
        <v>5382</v>
      </c>
      <c r="K213" s="3" t="str">
        <f>IFERROR(VLOOKUP(A213,[1]Sheet5!$C:$O,12,0),"00")</f>
        <v>01 - 29 MARCH</v>
      </c>
      <c r="L213" s="3" t="str">
        <f>IFERROR(VLOOKUP(A213,[1]Sheet5!$C:$O,13,0),"00")</f>
        <v>(NB20260315)_Mar_Sellout Support_RF _Asus_Select</v>
      </c>
    </row>
    <row r="214" spans="1:14" x14ac:dyDescent="0.3">
      <c r="A214" s="8" t="s">
        <v>920</v>
      </c>
      <c r="B214" s="8" t="s">
        <v>862</v>
      </c>
      <c r="C214" s="8" t="s">
        <v>815</v>
      </c>
      <c r="D214" s="3" t="s">
        <v>721</v>
      </c>
      <c r="G214" s="4">
        <v>65000</v>
      </c>
      <c r="H214" s="4">
        <v>49900</v>
      </c>
      <c r="J214" s="4">
        <v>4533</v>
      </c>
      <c r="K214" s="3" t="str">
        <f>IFERROR(VLOOKUP(A214,[1]Sheet5!$C:$O,12,0),"00")</f>
        <v>01 - 29 MARCH</v>
      </c>
      <c r="L214" s="3" t="str">
        <f>IFERROR(VLOOKUP(A214,[1]Sheet5!$C:$O,13,0),"00")</f>
        <v>(NB20260315)_Mar_Sellout Support_RF _Asus_Select</v>
      </c>
    </row>
    <row r="215" spans="1:14" x14ac:dyDescent="0.3">
      <c r="A215" s="8" t="s">
        <v>920</v>
      </c>
      <c r="B215" s="8" t="s">
        <v>863</v>
      </c>
      <c r="C215" s="8" t="s">
        <v>815</v>
      </c>
      <c r="D215" s="3" t="s">
        <v>721</v>
      </c>
      <c r="G215" s="4">
        <v>65000</v>
      </c>
      <c r="H215" s="4">
        <v>49900</v>
      </c>
      <c r="J215" s="4">
        <v>4533</v>
      </c>
      <c r="K215" s="3" t="str">
        <f>IFERROR(VLOOKUP(A215,[1]Sheet5!$C:$O,12,0),"00")</f>
        <v>01 - 29 MARCH</v>
      </c>
      <c r="L215" s="3" t="str">
        <f>IFERROR(VLOOKUP(A215,[1]Sheet5!$C:$O,13,0),"00")</f>
        <v>(NB20260315)_Mar_Sellout Support_RF _Asus_Select</v>
      </c>
    </row>
    <row r="216" spans="1:14" x14ac:dyDescent="0.3">
      <c r="A216" s="8" t="s">
        <v>920</v>
      </c>
      <c r="B216" s="8" t="s">
        <v>864</v>
      </c>
      <c r="C216" s="8" t="s">
        <v>815</v>
      </c>
      <c r="D216" s="3" t="s">
        <v>721</v>
      </c>
      <c r="G216" s="4">
        <v>65000</v>
      </c>
      <c r="H216" s="4">
        <v>49900</v>
      </c>
      <c r="J216" s="4">
        <v>4533</v>
      </c>
      <c r="K216" s="3" t="str">
        <f>IFERROR(VLOOKUP(A216,[1]Sheet5!$C:$O,12,0),"00")</f>
        <v>01 - 29 MARCH</v>
      </c>
      <c r="L216" s="3" t="str">
        <f>IFERROR(VLOOKUP(A216,[1]Sheet5!$C:$O,13,0),"00")</f>
        <v>(NB20260315)_Mar_Sellout Support_RF _Asus_Select</v>
      </c>
    </row>
    <row r="217" spans="1:14" x14ac:dyDescent="0.3">
      <c r="A217" s="8" t="s">
        <v>918</v>
      </c>
      <c r="B217" s="8" t="s">
        <v>860</v>
      </c>
      <c r="C217" s="8" t="s">
        <v>815</v>
      </c>
      <c r="D217" s="3" t="s">
        <v>949</v>
      </c>
      <c r="G217" s="4">
        <v>65000</v>
      </c>
      <c r="H217" s="4">
        <v>700</v>
      </c>
      <c r="J217" s="4" t="s">
        <v>941</v>
      </c>
      <c r="K217" s="3" t="s">
        <v>677</v>
      </c>
      <c r="L217" s="3" t="s">
        <v>784</v>
      </c>
    </row>
    <row r="218" spans="1:14" x14ac:dyDescent="0.3">
      <c r="A218" s="8" t="s">
        <v>921</v>
      </c>
      <c r="B218" s="8" t="s">
        <v>865</v>
      </c>
      <c r="C218" s="8" t="s">
        <v>815</v>
      </c>
      <c r="D218" s="3" t="s">
        <v>950</v>
      </c>
      <c r="G218" s="4">
        <v>65000</v>
      </c>
      <c r="H218" s="4">
        <v>700</v>
      </c>
      <c r="J218" s="4" t="s">
        <v>941</v>
      </c>
      <c r="K218" s="3" t="s">
        <v>677</v>
      </c>
      <c r="L218" s="3" t="s">
        <v>784</v>
      </c>
    </row>
    <row r="219" spans="1:14" x14ac:dyDescent="0.3">
      <c r="A219" s="8" t="s">
        <v>922</v>
      </c>
      <c r="B219" s="8" t="s">
        <v>866</v>
      </c>
      <c r="C219" s="8" t="s">
        <v>815</v>
      </c>
      <c r="D219" s="3" t="s">
        <v>951</v>
      </c>
      <c r="G219" s="4">
        <v>66000</v>
      </c>
      <c r="H219" s="4">
        <v>700</v>
      </c>
      <c r="J219" s="4" t="s">
        <v>941</v>
      </c>
      <c r="K219" s="3" t="s">
        <v>677</v>
      </c>
      <c r="L219" s="3" t="s">
        <v>784</v>
      </c>
    </row>
    <row r="220" spans="1:14" x14ac:dyDescent="0.3">
      <c r="A220" s="1" t="s">
        <v>595</v>
      </c>
      <c r="B220" s="1" t="s">
        <v>198</v>
      </c>
      <c r="C220" s="2" t="s">
        <v>2</v>
      </c>
      <c r="D220" s="3" t="s">
        <v>703</v>
      </c>
      <c r="E220" s="4">
        <v>71990</v>
      </c>
      <c r="F220" s="4">
        <v>58263</v>
      </c>
      <c r="G220" s="4">
        <v>68990</v>
      </c>
      <c r="H220" s="4">
        <v>55835</v>
      </c>
      <c r="I220" s="4">
        <v>3000</v>
      </c>
      <c r="J220" s="4">
        <v>2428</v>
      </c>
      <c r="K220" s="3" t="s">
        <v>677</v>
      </c>
      <c r="L220" s="3" t="s">
        <v>702</v>
      </c>
      <c r="M220" s="4" t="s">
        <v>0</v>
      </c>
      <c r="N220" s="3" t="s">
        <v>0</v>
      </c>
    </row>
    <row r="221" spans="1:14" x14ac:dyDescent="0.3">
      <c r="A221" s="1" t="s">
        <v>659</v>
      </c>
      <c r="B221" s="1" t="s">
        <v>476</v>
      </c>
      <c r="C221" s="2" t="s">
        <v>9</v>
      </c>
      <c r="D221" s="3" t="s">
        <v>781</v>
      </c>
      <c r="E221" s="4">
        <v>73990</v>
      </c>
      <c r="F221" s="4">
        <v>59882</v>
      </c>
      <c r="G221" s="4">
        <v>68990</v>
      </c>
      <c r="H221" s="4">
        <v>55835</v>
      </c>
      <c r="I221" s="4">
        <v>5000</v>
      </c>
      <c r="J221" s="4">
        <v>4047</v>
      </c>
      <c r="K221" s="3" t="s">
        <v>680</v>
      </c>
      <c r="L221" s="3" t="s">
        <v>681</v>
      </c>
      <c r="M221" s="4" t="s">
        <v>0</v>
      </c>
      <c r="N221" s="3" t="s">
        <v>0</v>
      </c>
    </row>
    <row r="222" spans="1:14" x14ac:dyDescent="0.3">
      <c r="A222" s="1" t="s">
        <v>562</v>
      </c>
      <c r="B222" s="1" t="s">
        <v>48</v>
      </c>
      <c r="C222" s="2" t="s">
        <v>13</v>
      </c>
      <c r="D222" s="3" t="s">
        <v>688</v>
      </c>
      <c r="E222" s="4">
        <v>78990</v>
      </c>
      <c r="F222" s="4">
        <v>63928</v>
      </c>
      <c r="G222" s="4">
        <v>68990</v>
      </c>
      <c r="H222" s="4">
        <v>55835</v>
      </c>
      <c r="I222" s="4">
        <v>10000</v>
      </c>
      <c r="J222" s="4">
        <v>8093</v>
      </c>
      <c r="K222" s="3" t="s">
        <v>680</v>
      </c>
      <c r="L222" s="3" t="s">
        <v>689</v>
      </c>
      <c r="M222" s="4" t="s">
        <v>0</v>
      </c>
      <c r="N222" s="3" t="s">
        <v>0</v>
      </c>
    </row>
    <row r="223" spans="1:14" x14ac:dyDescent="0.3">
      <c r="A223" s="1" t="s">
        <v>562</v>
      </c>
      <c r="B223" s="1" t="s">
        <v>49</v>
      </c>
      <c r="C223" s="2" t="s">
        <v>13</v>
      </c>
      <c r="D223" s="3" t="s">
        <v>688</v>
      </c>
      <c r="E223" s="4">
        <v>78990</v>
      </c>
      <c r="F223" s="4">
        <v>63928</v>
      </c>
      <c r="G223" s="4">
        <v>68990</v>
      </c>
      <c r="H223" s="4">
        <v>55835</v>
      </c>
      <c r="I223" s="4">
        <v>10000</v>
      </c>
      <c r="J223" s="4">
        <v>8093</v>
      </c>
      <c r="K223" s="3" t="s">
        <v>680</v>
      </c>
      <c r="L223" s="3" t="s">
        <v>689</v>
      </c>
      <c r="M223" s="4" t="s">
        <v>0</v>
      </c>
      <c r="N223" s="3" t="s">
        <v>0</v>
      </c>
    </row>
    <row r="224" spans="1:14" x14ac:dyDescent="0.3">
      <c r="A224" s="1" t="s">
        <v>600</v>
      </c>
      <c r="B224" s="1" t="s">
        <v>212</v>
      </c>
      <c r="C224" s="2" t="s">
        <v>2</v>
      </c>
      <c r="D224" s="3" t="s">
        <v>709</v>
      </c>
      <c r="E224" s="4">
        <v>78990</v>
      </c>
      <c r="F224" s="4">
        <v>63928</v>
      </c>
      <c r="G224" s="4">
        <v>69990</v>
      </c>
      <c r="H224" s="4">
        <v>56644</v>
      </c>
      <c r="I224" s="4">
        <v>9000</v>
      </c>
      <c r="J224" s="4">
        <v>7284</v>
      </c>
      <c r="K224" s="3" t="s">
        <v>677</v>
      </c>
      <c r="L224" s="3" t="s">
        <v>710</v>
      </c>
      <c r="M224" s="4" t="s">
        <v>0</v>
      </c>
      <c r="N224" s="3" t="s">
        <v>0</v>
      </c>
    </row>
    <row r="225" spans="1:14" x14ac:dyDescent="0.3">
      <c r="A225" s="1" t="s">
        <v>600</v>
      </c>
      <c r="B225" s="1" t="s">
        <v>213</v>
      </c>
      <c r="C225" s="2" t="s">
        <v>54</v>
      </c>
      <c r="D225" s="3" t="s">
        <v>709</v>
      </c>
      <c r="E225" s="4">
        <v>78990</v>
      </c>
      <c r="F225" s="4">
        <v>63928</v>
      </c>
      <c r="G225" s="4">
        <v>69990</v>
      </c>
      <c r="H225" s="4">
        <v>56644</v>
      </c>
      <c r="I225" s="4">
        <v>9000</v>
      </c>
      <c r="J225" s="4">
        <v>7284</v>
      </c>
      <c r="K225" s="3" t="s">
        <v>677</v>
      </c>
      <c r="L225" s="3" t="s">
        <v>710</v>
      </c>
      <c r="M225" s="4" t="s">
        <v>0</v>
      </c>
      <c r="N225" s="3" t="s">
        <v>0</v>
      </c>
    </row>
    <row r="226" spans="1:14" x14ac:dyDescent="0.3">
      <c r="A226" s="1" t="s">
        <v>600</v>
      </c>
      <c r="B226" s="1" t="s">
        <v>214</v>
      </c>
      <c r="C226" s="2" t="s">
        <v>2</v>
      </c>
      <c r="D226" s="3" t="s">
        <v>709</v>
      </c>
      <c r="E226" s="4">
        <v>78990</v>
      </c>
      <c r="F226" s="4">
        <v>63928</v>
      </c>
      <c r="G226" s="4">
        <v>69990</v>
      </c>
      <c r="H226" s="4">
        <v>56644</v>
      </c>
      <c r="I226" s="4">
        <v>9000</v>
      </c>
      <c r="J226" s="4">
        <v>7284</v>
      </c>
      <c r="K226" s="3" t="s">
        <v>677</v>
      </c>
      <c r="L226" s="3" t="s">
        <v>710</v>
      </c>
      <c r="M226" s="4" t="s">
        <v>0</v>
      </c>
      <c r="N226" s="3" t="s">
        <v>0</v>
      </c>
    </row>
    <row r="227" spans="1:14" x14ac:dyDescent="0.3">
      <c r="A227" s="1" t="s">
        <v>600</v>
      </c>
      <c r="B227" s="1" t="s">
        <v>215</v>
      </c>
      <c r="C227" s="2" t="s">
        <v>2</v>
      </c>
      <c r="D227" s="3" t="s">
        <v>709</v>
      </c>
      <c r="E227" s="4">
        <v>78990</v>
      </c>
      <c r="F227" s="4">
        <v>63928</v>
      </c>
      <c r="G227" s="4">
        <v>69990</v>
      </c>
      <c r="H227" s="4">
        <v>56644</v>
      </c>
      <c r="I227" s="4">
        <v>9000</v>
      </c>
      <c r="J227" s="4">
        <v>7284</v>
      </c>
      <c r="K227" s="3" t="s">
        <v>677</v>
      </c>
      <c r="L227" s="3" t="s">
        <v>710</v>
      </c>
      <c r="M227" s="4" t="s">
        <v>0</v>
      </c>
      <c r="N227" s="3" t="s">
        <v>0</v>
      </c>
    </row>
    <row r="228" spans="1:14" x14ac:dyDescent="0.3">
      <c r="A228" s="1" t="s">
        <v>600</v>
      </c>
      <c r="B228" s="1" t="s">
        <v>216</v>
      </c>
      <c r="C228" s="2" t="s">
        <v>22</v>
      </c>
      <c r="D228" s="3" t="s">
        <v>709</v>
      </c>
      <c r="E228" s="4">
        <v>78990</v>
      </c>
      <c r="F228" s="4">
        <v>63928</v>
      </c>
      <c r="G228" s="4">
        <v>69990</v>
      </c>
      <c r="H228" s="4">
        <v>56644</v>
      </c>
      <c r="I228" s="4">
        <v>9000</v>
      </c>
      <c r="J228" s="4">
        <v>7284</v>
      </c>
      <c r="K228" s="3" t="s">
        <v>677</v>
      </c>
      <c r="L228" s="3" t="s">
        <v>710</v>
      </c>
      <c r="M228" s="4" t="s">
        <v>0</v>
      </c>
      <c r="N228" s="3" t="s">
        <v>0</v>
      </c>
    </row>
    <row r="229" spans="1:14" x14ac:dyDescent="0.3">
      <c r="A229" s="1" t="s">
        <v>600</v>
      </c>
      <c r="B229" s="1" t="s">
        <v>217</v>
      </c>
      <c r="C229" s="2" t="s">
        <v>2</v>
      </c>
      <c r="D229" s="3" t="s">
        <v>709</v>
      </c>
      <c r="E229" s="4">
        <v>78990</v>
      </c>
      <c r="F229" s="4">
        <v>63928</v>
      </c>
      <c r="G229" s="4">
        <v>69990</v>
      </c>
      <c r="H229" s="4">
        <v>56644</v>
      </c>
      <c r="I229" s="4">
        <v>9000</v>
      </c>
      <c r="J229" s="4">
        <v>7284</v>
      </c>
      <c r="K229" s="3" t="s">
        <v>677</v>
      </c>
      <c r="L229" s="3" t="s">
        <v>710</v>
      </c>
      <c r="M229" s="4" t="s">
        <v>0</v>
      </c>
      <c r="N229" s="3" t="s">
        <v>0</v>
      </c>
    </row>
    <row r="230" spans="1:14" x14ac:dyDescent="0.3">
      <c r="A230" s="1" t="s">
        <v>600</v>
      </c>
      <c r="B230" s="1" t="s">
        <v>218</v>
      </c>
      <c r="C230" s="2" t="s">
        <v>4</v>
      </c>
      <c r="D230" s="3" t="s">
        <v>709</v>
      </c>
      <c r="E230" s="4">
        <v>78990</v>
      </c>
      <c r="F230" s="4">
        <v>63928</v>
      </c>
      <c r="G230" s="4">
        <v>69990</v>
      </c>
      <c r="H230" s="4">
        <v>56644</v>
      </c>
      <c r="I230" s="4">
        <v>9000</v>
      </c>
      <c r="J230" s="4">
        <v>7284</v>
      </c>
      <c r="K230" s="3" t="s">
        <v>677</v>
      </c>
      <c r="L230" s="3" t="s">
        <v>710</v>
      </c>
      <c r="M230" s="4" t="s">
        <v>0</v>
      </c>
      <c r="N230" s="3" t="s">
        <v>0</v>
      </c>
    </row>
    <row r="231" spans="1:14" x14ac:dyDescent="0.3">
      <c r="A231" s="1" t="s">
        <v>600</v>
      </c>
      <c r="B231" s="1" t="s">
        <v>219</v>
      </c>
      <c r="C231" s="2" t="s">
        <v>2</v>
      </c>
      <c r="D231" s="3" t="s">
        <v>709</v>
      </c>
      <c r="E231" s="4">
        <v>78990</v>
      </c>
      <c r="F231" s="4">
        <v>63928</v>
      </c>
      <c r="G231" s="4">
        <v>69990</v>
      </c>
      <c r="H231" s="4">
        <v>56644</v>
      </c>
      <c r="I231" s="4">
        <v>9000</v>
      </c>
      <c r="J231" s="4">
        <v>7284</v>
      </c>
      <c r="K231" s="3" t="s">
        <v>677</v>
      </c>
      <c r="L231" s="3" t="s">
        <v>710</v>
      </c>
      <c r="M231" s="4" t="s">
        <v>0</v>
      </c>
      <c r="N231" s="3" t="s">
        <v>0</v>
      </c>
    </row>
    <row r="232" spans="1:14" x14ac:dyDescent="0.3">
      <c r="A232" s="1" t="s">
        <v>600</v>
      </c>
      <c r="B232" s="1" t="s">
        <v>220</v>
      </c>
      <c r="C232" s="2" t="s">
        <v>51</v>
      </c>
      <c r="D232" s="3" t="s">
        <v>709</v>
      </c>
      <c r="E232" s="4">
        <v>78990</v>
      </c>
      <c r="F232" s="4">
        <v>63928</v>
      </c>
      <c r="G232" s="4">
        <v>69990</v>
      </c>
      <c r="H232" s="4">
        <v>56644</v>
      </c>
      <c r="I232" s="4">
        <v>9000</v>
      </c>
      <c r="J232" s="4">
        <v>7284</v>
      </c>
      <c r="K232" s="3" t="s">
        <v>677</v>
      </c>
      <c r="L232" s="3" t="s">
        <v>710</v>
      </c>
      <c r="M232" s="4" t="s">
        <v>0</v>
      </c>
      <c r="N232" s="3" t="s">
        <v>0</v>
      </c>
    </row>
    <row r="233" spans="1:14" x14ac:dyDescent="0.3">
      <c r="A233" s="1" t="s">
        <v>600</v>
      </c>
      <c r="B233" s="1" t="s">
        <v>221</v>
      </c>
      <c r="C233" s="2" t="s">
        <v>666</v>
      </c>
      <c r="D233" s="3" t="s">
        <v>709</v>
      </c>
      <c r="E233" s="4">
        <v>78990</v>
      </c>
      <c r="F233" s="4">
        <v>63928</v>
      </c>
      <c r="G233" s="4">
        <v>69990</v>
      </c>
      <c r="H233" s="4">
        <v>56644</v>
      </c>
      <c r="I233" s="4">
        <v>9000</v>
      </c>
      <c r="J233" s="4">
        <v>7284</v>
      </c>
      <c r="K233" s="3" t="s">
        <v>677</v>
      </c>
      <c r="L233" s="3" t="s">
        <v>710</v>
      </c>
      <c r="M233" s="4" t="s">
        <v>0</v>
      </c>
      <c r="N233" s="3" t="s">
        <v>0</v>
      </c>
    </row>
    <row r="234" spans="1:14" x14ac:dyDescent="0.3">
      <c r="A234" s="1" t="s">
        <v>639</v>
      </c>
      <c r="B234" s="1" t="s">
        <v>381</v>
      </c>
      <c r="C234" s="2" t="s">
        <v>31</v>
      </c>
      <c r="D234" s="3" t="s">
        <v>752</v>
      </c>
      <c r="E234" s="4">
        <v>83990</v>
      </c>
      <c r="F234" s="4">
        <v>67975</v>
      </c>
      <c r="G234" s="4">
        <v>69990</v>
      </c>
      <c r="H234" s="4">
        <v>56644</v>
      </c>
      <c r="I234" s="4">
        <v>14000</v>
      </c>
      <c r="J234" s="4">
        <v>11331</v>
      </c>
      <c r="K234" s="3" t="s">
        <v>680</v>
      </c>
      <c r="L234" s="3" t="s">
        <v>705</v>
      </c>
      <c r="M234" s="4" t="s">
        <v>0</v>
      </c>
      <c r="N234" s="3" t="s">
        <v>0</v>
      </c>
    </row>
    <row r="235" spans="1:14" x14ac:dyDescent="0.3">
      <c r="A235" s="1" t="s">
        <v>639</v>
      </c>
      <c r="B235" s="1" t="s">
        <v>382</v>
      </c>
      <c r="C235" s="2" t="s">
        <v>24</v>
      </c>
      <c r="D235" s="3" t="s">
        <v>752</v>
      </c>
      <c r="E235" s="4">
        <v>83990</v>
      </c>
      <c r="F235" s="4">
        <v>67975</v>
      </c>
      <c r="G235" s="4">
        <v>69990</v>
      </c>
      <c r="H235" s="4">
        <v>56644</v>
      </c>
      <c r="I235" s="4">
        <v>14000</v>
      </c>
      <c r="J235" s="4">
        <v>11331</v>
      </c>
      <c r="K235" s="3" t="s">
        <v>680</v>
      </c>
      <c r="L235" s="3" t="s">
        <v>705</v>
      </c>
      <c r="M235" s="4" t="s">
        <v>0</v>
      </c>
      <c r="N235" s="3" t="s">
        <v>0</v>
      </c>
    </row>
    <row r="236" spans="1:14" x14ac:dyDescent="0.3">
      <c r="A236" s="1" t="s">
        <v>546</v>
      </c>
      <c r="B236" s="1" t="s">
        <v>515</v>
      </c>
      <c r="C236" s="2" t="s">
        <v>4</v>
      </c>
      <c r="D236" s="3" t="s">
        <v>760</v>
      </c>
      <c r="E236" s="4">
        <v>70990</v>
      </c>
      <c r="F236" s="4">
        <v>57454</v>
      </c>
      <c r="G236" s="4">
        <v>69990</v>
      </c>
      <c r="H236" s="4">
        <v>56644</v>
      </c>
      <c r="I236" s="4">
        <v>1000</v>
      </c>
      <c r="J236" s="4">
        <v>810</v>
      </c>
      <c r="K236" s="3" t="s">
        <v>680</v>
      </c>
      <c r="L236" s="3" t="s">
        <v>757</v>
      </c>
      <c r="M236" s="4" t="s">
        <v>0</v>
      </c>
      <c r="N236" s="3" t="s">
        <v>0</v>
      </c>
    </row>
    <row r="237" spans="1:14" x14ac:dyDescent="0.3">
      <c r="A237" s="1" t="s">
        <v>546</v>
      </c>
      <c r="B237" s="1" t="s">
        <v>516</v>
      </c>
      <c r="C237" s="2" t="s">
        <v>2</v>
      </c>
      <c r="D237" s="3" t="s">
        <v>760</v>
      </c>
      <c r="E237" s="4">
        <v>70990</v>
      </c>
      <c r="F237" s="4">
        <v>57454</v>
      </c>
      <c r="G237" s="4">
        <v>69990</v>
      </c>
      <c r="H237" s="4">
        <v>56644</v>
      </c>
      <c r="I237" s="4">
        <v>1000</v>
      </c>
      <c r="J237" s="4">
        <v>810</v>
      </c>
      <c r="K237" s="3" t="s">
        <v>680</v>
      </c>
      <c r="L237" s="3" t="s">
        <v>757</v>
      </c>
      <c r="M237" s="4" t="s">
        <v>0</v>
      </c>
      <c r="N237" s="3" t="s">
        <v>0</v>
      </c>
    </row>
    <row r="238" spans="1:14" x14ac:dyDescent="0.3">
      <c r="A238" s="1" t="s">
        <v>592</v>
      </c>
      <c r="B238" s="1" t="s">
        <v>194</v>
      </c>
      <c r="C238" s="2" t="s">
        <v>2</v>
      </c>
      <c r="D238" s="3" t="s">
        <v>787</v>
      </c>
      <c r="E238" s="4" t="s">
        <v>0</v>
      </c>
      <c r="F238" s="4" t="s">
        <v>0</v>
      </c>
      <c r="G238" s="4">
        <v>69990</v>
      </c>
      <c r="H238" s="4">
        <v>56644</v>
      </c>
      <c r="I238" s="4" t="s">
        <v>0</v>
      </c>
      <c r="J238" s="4" t="s">
        <v>0</v>
      </c>
      <c r="K238" s="3" t="s">
        <v>677</v>
      </c>
      <c r="L238" s="3" t="s">
        <v>784</v>
      </c>
      <c r="M238" s="4" t="s">
        <v>0</v>
      </c>
      <c r="N238" s="3" t="s">
        <v>0</v>
      </c>
    </row>
    <row r="239" spans="1:14" x14ac:dyDescent="0.3">
      <c r="A239" s="1" t="s">
        <v>664</v>
      </c>
      <c r="B239" s="1" t="s">
        <v>5</v>
      </c>
      <c r="C239" s="2" t="s">
        <v>6</v>
      </c>
      <c r="D239" s="3" t="s">
        <v>788</v>
      </c>
      <c r="E239" s="4" t="s">
        <v>0</v>
      </c>
      <c r="F239" s="4" t="s">
        <v>0</v>
      </c>
      <c r="G239" s="4">
        <v>69990</v>
      </c>
      <c r="H239" s="4">
        <v>57534</v>
      </c>
      <c r="I239" s="4" t="s">
        <v>0</v>
      </c>
      <c r="J239" s="4" t="s">
        <v>0</v>
      </c>
      <c r="K239" s="3" t="s">
        <v>677</v>
      </c>
      <c r="L239" s="3" t="s">
        <v>784</v>
      </c>
      <c r="M239" s="4" t="s">
        <v>0</v>
      </c>
      <c r="N239" s="3" t="s">
        <v>0</v>
      </c>
    </row>
    <row r="240" spans="1:14" x14ac:dyDescent="0.3">
      <c r="A240" s="1" t="s">
        <v>664</v>
      </c>
      <c r="B240" s="1" t="s">
        <v>7</v>
      </c>
      <c r="C240" s="2" t="s">
        <v>666</v>
      </c>
      <c r="D240" s="3" t="s">
        <v>788</v>
      </c>
      <c r="E240" s="4" t="s">
        <v>0</v>
      </c>
      <c r="F240" s="4" t="s">
        <v>0</v>
      </c>
      <c r="G240" s="4">
        <v>69990</v>
      </c>
      <c r="H240" s="4">
        <v>57534</v>
      </c>
      <c r="I240" s="4" t="s">
        <v>0</v>
      </c>
      <c r="J240" s="4" t="s">
        <v>0</v>
      </c>
      <c r="K240" s="3" t="s">
        <v>677</v>
      </c>
      <c r="L240" s="3" t="s">
        <v>784</v>
      </c>
      <c r="M240" s="4" t="s">
        <v>0</v>
      </c>
      <c r="N240" s="3" t="s">
        <v>0</v>
      </c>
    </row>
    <row r="241" spans="1:14" x14ac:dyDescent="0.3">
      <c r="A241" s="1" t="s">
        <v>664</v>
      </c>
      <c r="B241" s="1" t="s">
        <v>8</v>
      </c>
      <c r="C241" s="2" t="s">
        <v>9</v>
      </c>
      <c r="D241" s="3" t="s">
        <v>788</v>
      </c>
      <c r="E241" s="4" t="s">
        <v>0</v>
      </c>
      <c r="F241" s="4" t="s">
        <v>0</v>
      </c>
      <c r="G241" s="4">
        <v>69990</v>
      </c>
      <c r="H241" s="4">
        <v>57534</v>
      </c>
      <c r="I241" s="4" t="s">
        <v>0</v>
      </c>
      <c r="J241" s="4" t="s">
        <v>0</v>
      </c>
      <c r="K241" s="3" t="s">
        <v>677</v>
      </c>
      <c r="L241" s="3" t="s">
        <v>784</v>
      </c>
      <c r="M241" s="4" t="s">
        <v>0</v>
      </c>
      <c r="N241" s="3" t="s">
        <v>0</v>
      </c>
    </row>
    <row r="242" spans="1:14" x14ac:dyDescent="0.3">
      <c r="A242" s="1" t="s">
        <v>664</v>
      </c>
      <c r="B242" s="1" t="s">
        <v>10</v>
      </c>
      <c r="C242" s="2" t="s">
        <v>11</v>
      </c>
      <c r="D242" s="3" t="s">
        <v>788</v>
      </c>
      <c r="E242" s="4" t="s">
        <v>0</v>
      </c>
      <c r="F242" s="4" t="s">
        <v>0</v>
      </c>
      <c r="G242" s="4">
        <v>69990</v>
      </c>
      <c r="H242" s="4">
        <v>57534</v>
      </c>
      <c r="I242" s="4" t="s">
        <v>0</v>
      </c>
      <c r="J242" s="4" t="s">
        <v>0</v>
      </c>
      <c r="K242" s="3" t="s">
        <v>677</v>
      </c>
      <c r="L242" s="3" t="s">
        <v>784</v>
      </c>
      <c r="M242" s="4" t="s">
        <v>0</v>
      </c>
      <c r="N242" s="3" t="s">
        <v>0</v>
      </c>
    </row>
    <row r="243" spans="1:14" x14ac:dyDescent="0.3">
      <c r="A243" s="1" t="s">
        <v>664</v>
      </c>
      <c r="B243" s="1" t="s">
        <v>12</v>
      </c>
      <c r="C243" s="2" t="s">
        <v>13</v>
      </c>
      <c r="D243" s="3" t="s">
        <v>788</v>
      </c>
      <c r="E243" s="4" t="s">
        <v>0</v>
      </c>
      <c r="F243" s="4" t="s">
        <v>0</v>
      </c>
      <c r="G243" s="4">
        <v>69990</v>
      </c>
      <c r="H243" s="4">
        <v>57534</v>
      </c>
      <c r="I243" s="4" t="s">
        <v>0</v>
      </c>
      <c r="J243" s="4" t="s">
        <v>0</v>
      </c>
      <c r="K243" s="3" t="s">
        <v>677</v>
      </c>
      <c r="L243" s="3" t="s">
        <v>784</v>
      </c>
      <c r="M243" s="4" t="s">
        <v>0</v>
      </c>
      <c r="N243" s="3" t="s">
        <v>0</v>
      </c>
    </row>
    <row r="244" spans="1:14" x14ac:dyDescent="0.3">
      <c r="A244" s="1" t="s">
        <v>664</v>
      </c>
      <c r="B244" s="1" t="s">
        <v>14</v>
      </c>
      <c r="C244" s="2" t="s">
        <v>666</v>
      </c>
      <c r="D244" s="3" t="s">
        <v>788</v>
      </c>
      <c r="E244" s="4" t="s">
        <v>0</v>
      </c>
      <c r="F244" s="4" t="s">
        <v>0</v>
      </c>
      <c r="G244" s="4">
        <v>69990</v>
      </c>
      <c r="H244" s="4">
        <v>57534</v>
      </c>
      <c r="I244" s="4" t="s">
        <v>0</v>
      </c>
      <c r="J244" s="4" t="s">
        <v>0</v>
      </c>
      <c r="K244" s="3" t="s">
        <v>677</v>
      </c>
      <c r="L244" s="3" t="s">
        <v>784</v>
      </c>
      <c r="M244" s="4" t="s">
        <v>0</v>
      </c>
      <c r="N244" s="3" t="s">
        <v>0</v>
      </c>
    </row>
    <row r="245" spans="1:14" x14ac:dyDescent="0.3">
      <c r="A245" s="1" t="s">
        <v>664</v>
      </c>
      <c r="B245" s="1" t="s">
        <v>15</v>
      </c>
      <c r="C245" s="2" t="s">
        <v>16</v>
      </c>
      <c r="D245" s="3" t="s">
        <v>788</v>
      </c>
      <c r="E245" s="4" t="s">
        <v>0</v>
      </c>
      <c r="F245" s="4" t="s">
        <v>0</v>
      </c>
      <c r="G245" s="4">
        <v>69990</v>
      </c>
      <c r="H245" s="4">
        <v>57534</v>
      </c>
      <c r="I245" s="4" t="s">
        <v>0</v>
      </c>
      <c r="J245" s="4" t="s">
        <v>0</v>
      </c>
      <c r="K245" s="3" t="s">
        <v>677</v>
      </c>
      <c r="L245" s="3" t="s">
        <v>784</v>
      </c>
      <c r="M245" s="4" t="s">
        <v>0</v>
      </c>
      <c r="N245" s="3" t="s">
        <v>0</v>
      </c>
    </row>
    <row r="246" spans="1:14" x14ac:dyDescent="0.3">
      <c r="A246" s="1" t="s">
        <v>664</v>
      </c>
      <c r="B246" s="1" t="s">
        <v>17</v>
      </c>
      <c r="C246" s="2" t="s">
        <v>18</v>
      </c>
      <c r="D246" s="3" t="s">
        <v>788</v>
      </c>
      <c r="E246" s="4" t="s">
        <v>0</v>
      </c>
      <c r="F246" s="4" t="s">
        <v>0</v>
      </c>
      <c r="G246" s="4">
        <v>69990</v>
      </c>
      <c r="H246" s="4">
        <v>57534</v>
      </c>
      <c r="I246" s="4" t="s">
        <v>0</v>
      </c>
      <c r="J246" s="4" t="s">
        <v>0</v>
      </c>
      <c r="K246" s="3" t="s">
        <v>677</v>
      </c>
      <c r="L246" s="3" t="s">
        <v>784</v>
      </c>
      <c r="M246" s="4" t="s">
        <v>0</v>
      </c>
      <c r="N246" s="3" t="s">
        <v>0</v>
      </c>
    </row>
    <row r="247" spans="1:14" x14ac:dyDescent="0.3">
      <c r="A247" s="1" t="s">
        <v>664</v>
      </c>
      <c r="B247" s="1" t="s">
        <v>19</v>
      </c>
      <c r="C247" s="2" t="s">
        <v>18</v>
      </c>
      <c r="D247" s="3" t="s">
        <v>788</v>
      </c>
      <c r="E247" s="4" t="s">
        <v>0</v>
      </c>
      <c r="F247" s="4" t="s">
        <v>0</v>
      </c>
      <c r="G247" s="4">
        <v>69990</v>
      </c>
      <c r="H247" s="4">
        <v>57534</v>
      </c>
      <c r="I247" s="4" t="s">
        <v>0</v>
      </c>
      <c r="J247" s="4" t="s">
        <v>0</v>
      </c>
      <c r="K247" s="3" t="s">
        <v>677</v>
      </c>
      <c r="L247" s="3" t="s">
        <v>784</v>
      </c>
      <c r="M247" s="4" t="s">
        <v>0</v>
      </c>
      <c r="N247" s="3" t="s">
        <v>0</v>
      </c>
    </row>
    <row r="248" spans="1:14" x14ac:dyDescent="0.3">
      <c r="A248" s="1" t="s">
        <v>664</v>
      </c>
      <c r="B248" s="1" t="s">
        <v>20</v>
      </c>
      <c r="C248" s="2" t="s">
        <v>13</v>
      </c>
      <c r="D248" s="3" t="s">
        <v>788</v>
      </c>
      <c r="E248" s="4" t="s">
        <v>0</v>
      </c>
      <c r="F248" s="4" t="s">
        <v>0</v>
      </c>
      <c r="G248" s="4">
        <v>69990</v>
      </c>
      <c r="H248" s="4">
        <v>57534</v>
      </c>
      <c r="I248" s="4" t="s">
        <v>0</v>
      </c>
      <c r="J248" s="4" t="s">
        <v>0</v>
      </c>
      <c r="K248" s="3" t="s">
        <v>677</v>
      </c>
      <c r="L248" s="3" t="s">
        <v>784</v>
      </c>
      <c r="M248" s="4" t="s">
        <v>0</v>
      </c>
      <c r="N248" s="3" t="s">
        <v>0</v>
      </c>
    </row>
    <row r="249" spans="1:14" x14ac:dyDescent="0.3">
      <c r="A249" s="1" t="s">
        <v>664</v>
      </c>
      <c r="B249" s="1" t="s">
        <v>21</v>
      </c>
      <c r="C249" s="2" t="s">
        <v>22</v>
      </c>
      <c r="D249" s="3" t="s">
        <v>788</v>
      </c>
      <c r="E249" s="4" t="s">
        <v>0</v>
      </c>
      <c r="F249" s="4" t="s">
        <v>0</v>
      </c>
      <c r="G249" s="4">
        <v>69990</v>
      </c>
      <c r="H249" s="4">
        <v>57534</v>
      </c>
      <c r="I249" s="4" t="s">
        <v>0</v>
      </c>
      <c r="J249" s="4" t="s">
        <v>0</v>
      </c>
      <c r="K249" s="3" t="s">
        <v>677</v>
      </c>
      <c r="L249" s="3" t="s">
        <v>784</v>
      </c>
      <c r="M249" s="4" t="s">
        <v>0</v>
      </c>
      <c r="N249" s="3" t="s">
        <v>0</v>
      </c>
    </row>
    <row r="250" spans="1:14" x14ac:dyDescent="0.3">
      <c r="A250" s="1" t="s">
        <v>664</v>
      </c>
      <c r="B250" s="1" t="s">
        <v>23</v>
      </c>
      <c r="C250" s="2" t="s">
        <v>24</v>
      </c>
      <c r="D250" s="3" t="s">
        <v>788</v>
      </c>
      <c r="E250" s="4" t="s">
        <v>0</v>
      </c>
      <c r="F250" s="4" t="s">
        <v>0</v>
      </c>
      <c r="G250" s="4">
        <v>69990</v>
      </c>
      <c r="H250" s="4">
        <v>57534</v>
      </c>
      <c r="I250" s="4" t="s">
        <v>0</v>
      </c>
      <c r="J250" s="4" t="s">
        <v>0</v>
      </c>
      <c r="K250" s="3" t="s">
        <v>677</v>
      </c>
      <c r="L250" s="3" t="s">
        <v>784</v>
      </c>
      <c r="M250" s="4" t="s">
        <v>0</v>
      </c>
      <c r="N250" s="3" t="s">
        <v>0</v>
      </c>
    </row>
    <row r="251" spans="1:14" x14ac:dyDescent="0.3">
      <c r="A251" s="1" t="s">
        <v>664</v>
      </c>
      <c r="B251" s="1" t="s">
        <v>25</v>
      </c>
      <c r="C251" s="2" t="s">
        <v>667</v>
      </c>
      <c r="D251" s="3" t="s">
        <v>788</v>
      </c>
      <c r="E251" s="4" t="s">
        <v>0</v>
      </c>
      <c r="F251" s="4" t="s">
        <v>0</v>
      </c>
      <c r="G251" s="4">
        <v>69990</v>
      </c>
      <c r="H251" s="4">
        <v>57534</v>
      </c>
      <c r="I251" s="4" t="s">
        <v>0</v>
      </c>
      <c r="J251" s="4" t="s">
        <v>0</v>
      </c>
      <c r="K251" s="3" t="s">
        <v>677</v>
      </c>
      <c r="L251" s="3" t="s">
        <v>784</v>
      </c>
      <c r="M251" s="4" t="s">
        <v>0</v>
      </c>
      <c r="N251" s="3" t="s">
        <v>0</v>
      </c>
    </row>
    <row r="252" spans="1:14" x14ac:dyDescent="0.3">
      <c r="A252" s="1" t="s">
        <v>598</v>
      </c>
      <c r="B252" s="1" t="s">
        <v>207</v>
      </c>
      <c r="C252" s="2" t="s">
        <v>2</v>
      </c>
      <c r="D252" s="3" t="s">
        <v>707</v>
      </c>
      <c r="E252" s="4">
        <v>83990</v>
      </c>
      <c r="F252" s="4">
        <v>67975</v>
      </c>
      <c r="G252" s="4">
        <v>72990</v>
      </c>
      <c r="H252" s="4">
        <v>59072</v>
      </c>
      <c r="I252" s="4">
        <v>11000</v>
      </c>
      <c r="J252" s="4">
        <v>8903</v>
      </c>
      <c r="K252" s="3" t="s">
        <v>677</v>
      </c>
      <c r="L252" s="3" t="s">
        <v>702</v>
      </c>
      <c r="M252" s="4" t="s">
        <v>0</v>
      </c>
      <c r="N252" s="3" t="s">
        <v>0</v>
      </c>
    </row>
    <row r="253" spans="1:14" x14ac:dyDescent="0.3">
      <c r="A253" s="1" t="s">
        <v>598</v>
      </c>
      <c r="B253" s="1" t="s">
        <v>208</v>
      </c>
      <c r="C253" s="2" t="s">
        <v>666</v>
      </c>
      <c r="D253" s="3" t="s">
        <v>707</v>
      </c>
      <c r="E253" s="4">
        <v>83990</v>
      </c>
      <c r="F253" s="4">
        <v>67975</v>
      </c>
      <c r="G253" s="4">
        <v>72990</v>
      </c>
      <c r="H253" s="4">
        <v>59072</v>
      </c>
      <c r="I253" s="4">
        <v>11000</v>
      </c>
      <c r="J253" s="4">
        <v>8903</v>
      </c>
      <c r="K253" s="3" t="s">
        <v>677</v>
      </c>
      <c r="L253" s="3" t="s">
        <v>702</v>
      </c>
      <c r="M253" s="4" t="s">
        <v>0</v>
      </c>
      <c r="N253" s="3" t="s">
        <v>0</v>
      </c>
    </row>
    <row r="254" spans="1:14" x14ac:dyDescent="0.3">
      <c r="A254" s="1" t="s">
        <v>598</v>
      </c>
      <c r="B254" s="1" t="s">
        <v>209</v>
      </c>
      <c r="C254" s="2" t="s">
        <v>18</v>
      </c>
      <c r="D254" s="3" t="s">
        <v>707</v>
      </c>
      <c r="E254" s="4">
        <v>83990</v>
      </c>
      <c r="F254" s="4">
        <v>67975</v>
      </c>
      <c r="G254" s="4">
        <v>72990</v>
      </c>
      <c r="H254" s="4">
        <v>59072</v>
      </c>
      <c r="I254" s="4">
        <v>11000</v>
      </c>
      <c r="J254" s="4">
        <v>8903</v>
      </c>
      <c r="K254" s="3" t="s">
        <v>677</v>
      </c>
      <c r="L254" s="3" t="s">
        <v>702</v>
      </c>
      <c r="M254" s="4" t="s">
        <v>0</v>
      </c>
      <c r="N254" s="3" t="s">
        <v>0</v>
      </c>
    </row>
    <row r="255" spans="1:14" x14ac:dyDescent="0.3">
      <c r="A255" s="1" t="s">
        <v>598</v>
      </c>
      <c r="B255" s="1" t="s">
        <v>210</v>
      </c>
      <c r="C255" s="2" t="s">
        <v>13</v>
      </c>
      <c r="D255" s="3" t="s">
        <v>707</v>
      </c>
      <c r="E255" s="4">
        <v>83990</v>
      </c>
      <c r="F255" s="4">
        <v>67975</v>
      </c>
      <c r="G255" s="4">
        <v>72990</v>
      </c>
      <c r="H255" s="4">
        <v>59072</v>
      </c>
      <c r="I255" s="4">
        <v>11000</v>
      </c>
      <c r="J255" s="4">
        <v>8903</v>
      </c>
      <c r="K255" s="3" t="s">
        <v>677</v>
      </c>
      <c r="L255" s="3" t="s">
        <v>702</v>
      </c>
      <c r="M255" s="4" t="s">
        <v>0</v>
      </c>
      <c r="N255" s="3" t="s">
        <v>0</v>
      </c>
    </row>
    <row r="256" spans="1:14" x14ac:dyDescent="0.3">
      <c r="A256" s="1" t="s">
        <v>606</v>
      </c>
      <c r="B256" s="1" t="s">
        <v>246</v>
      </c>
      <c r="C256" s="2" t="s">
        <v>4</v>
      </c>
      <c r="D256" s="3" t="s">
        <v>719</v>
      </c>
      <c r="E256" s="4">
        <v>80990</v>
      </c>
      <c r="F256" s="4">
        <v>65547</v>
      </c>
      <c r="G256" s="4">
        <v>72990</v>
      </c>
      <c r="H256" s="4">
        <v>59072</v>
      </c>
      <c r="I256" s="4">
        <v>8000</v>
      </c>
      <c r="J256" s="4">
        <v>6475</v>
      </c>
      <c r="K256" s="3" t="s">
        <v>680</v>
      </c>
      <c r="L256" s="3" t="s">
        <v>681</v>
      </c>
      <c r="M256" s="4" t="s">
        <v>0</v>
      </c>
      <c r="N256" s="3" t="s">
        <v>0</v>
      </c>
    </row>
    <row r="257" spans="1:14" x14ac:dyDescent="0.3">
      <c r="A257" s="1" t="s">
        <v>549</v>
      </c>
      <c r="B257" s="1" t="s">
        <v>520</v>
      </c>
      <c r="C257" s="2" t="s">
        <v>2</v>
      </c>
      <c r="D257" s="3" t="s">
        <v>763</v>
      </c>
      <c r="E257" s="4">
        <v>73990</v>
      </c>
      <c r="F257" s="4">
        <v>59882</v>
      </c>
      <c r="G257" s="4">
        <v>72990</v>
      </c>
      <c r="H257" s="4">
        <v>59072</v>
      </c>
      <c r="I257" s="4">
        <v>1000</v>
      </c>
      <c r="J257" s="4">
        <v>810</v>
      </c>
      <c r="K257" s="3" t="s">
        <v>680</v>
      </c>
      <c r="L257" s="3" t="s">
        <v>757</v>
      </c>
      <c r="M257" s="4" t="s">
        <v>0</v>
      </c>
      <c r="N257" s="3" t="s">
        <v>0</v>
      </c>
    </row>
    <row r="258" spans="1:14" x14ac:dyDescent="0.3">
      <c r="A258" s="1" t="s">
        <v>549</v>
      </c>
      <c r="B258" s="1" t="s">
        <v>521</v>
      </c>
      <c r="C258" s="2" t="s">
        <v>51</v>
      </c>
      <c r="D258" s="3" t="s">
        <v>763</v>
      </c>
      <c r="E258" s="4">
        <v>73990</v>
      </c>
      <c r="F258" s="4">
        <v>59882</v>
      </c>
      <c r="G258" s="4">
        <v>72990</v>
      </c>
      <c r="H258" s="4">
        <v>59072</v>
      </c>
      <c r="I258" s="4">
        <v>1000</v>
      </c>
      <c r="J258" s="4">
        <v>810</v>
      </c>
      <c r="K258" s="3" t="s">
        <v>680</v>
      </c>
      <c r="L258" s="3" t="s">
        <v>757</v>
      </c>
      <c r="M258" s="4" t="s">
        <v>0</v>
      </c>
      <c r="N258" s="3" t="s">
        <v>0</v>
      </c>
    </row>
    <row r="259" spans="1:14" x14ac:dyDescent="0.3">
      <c r="A259" s="1" t="s">
        <v>605</v>
      </c>
      <c r="B259" s="1" t="s">
        <v>234</v>
      </c>
      <c r="C259" s="2" t="s">
        <v>24</v>
      </c>
      <c r="D259" s="3" t="s">
        <v>715</v>
      </c>
      <c r="E259" s="4">
        <v>84990</v>
      </c>
      <c r="F259" s="4">
        <v>68784</v>
      </c>
      <c r="G259" s="4">
        <v>73990</v>
      </c>
      <c r="H259" s="4">
        <v>59882</v>
      </c>
      <c r="I259" s="4">
        <v>11000</v>
      </c>
      <c r="J259" s="4">
        <v>8902</v>
      </c>
      <c r="K259" s="3" t="s">
        <v>680</v>
      </c>
      <c r="L259" s="3" t="s">
        <v>681</v>
      </c>
      <c r="M259" s="4" t="s">
        <v>0</v>
      </c>
      <c r="N259" s="3" t="s">
        <v>0</v>
      </c>
    </row>
    <row r="260" spans="1:14" x14ac:dyDescent="0.3">
      <c r="A260" s="1" t="s">
        <v>605</v>
      </c>
      <c r="B260" s="1" t="s">
        <v>235</v>
      </c>
      <c r="C260" s="2" t="s">
        <v>54</v>
      </c>
      <c r="D260" s="3" t="s">
        <v>715</v>
      </c>
      <c r="E260" s="4">
        <v>84990</v>
      </c>
      <c r="F260" s="4">
        <v>68784</v>
      </c>
      <c r="G260" s="4">
        <v>73990</v>
      </c>
      <c r="H260" s="4">
        <v>59882</v>
      </c>
      <c r="I260" s="4">
        <v>11000</v>
      </c>
      <c r="J260" s="4">
        <v>8902</v>
      </c>
      <c r="K260" s="3" t="s">
        <v>680</v>
      </c>
      <c r="L260" s="3" t="s">
        <v>681</v>
      </c>
      <c r="M260" s="4" t="s">
        <v>0</v>
      </c>
      <c r="N260" s="3" t="s">
        <v>0</v>
      </c>
    </row>
    <row r="261" spans="1:14" x14ac:dyDescent="0.3">
      <c r="A261" s="1" t="s">
        <v>605</v>
      </c>
      <c r="B261" s="1" t="s">
        <v>236</v>
      </c>
      <c r="C261" s="2" t="s">
        <v>51</v>
      </c>
      <c r="D261" s="3" t="s">
        <v>715</v>
      </c>
      <c r="E261" s="4">
        <v>84990</v>
      </c>
      <c r="F261" s="4">
        <v>68784</v>
      </c>
      <c r="G261" s="4">
        <v>73990</v>
      </c>
      <c r="H261" s="4">
        <v>59882</v>
      </c>
      <c r="I261" s="4">
        <v>11000</v>
      </c>
      <c r="J261" s="4">
        <v>8902</v>
      </c>
      <c r="K261" s="3" t="s">
        <v>680</v>
      </c>
      <c r="L261" s="3" t="s">
        <v>681</v>
      </c>
      <c r="M261" s="4" t="s">
        <v>0</v>
      </c>
      <c r="N261" s="3" t="s">
        <v>0</v>
      </c>
    </row>
    <row r="262" spans="1:14" x14ac:dyDescent="0.3">
      <c r="A262" s="1" t="s">
        <v>605</v>
      </c>
      <c r="B262" s="1" t="s">
        <v>237</v>
      </c>
      <c r="C262" s="2" t="s">
        <v>22</v>
      </c>
      <c r="D262" s="3" t="s">
        <v>715</v>
      </c>
      <c r="E262" s="4">
        <v>84990</v>
      </c>
      <c r="F262" s="4">
        <v>68784</v>
      </c>
      <c r="G262" s="4">
        <v>73990</v>
      </c>
      <c r="H262" s="4">
        <v>59882</v>
      </c>
      <c r="I262" s="4">
        <v>11000</v>
      </c>
      <c r="J262" s="4">
        <v>8902</v>
      </c>
      <c r="K262" s="3" t="s">
        <v>680</v>
      </c>
      <c r="L262" s="3" t="s">
        <v>681</v>
      </c>
      <c r="M262" s="4" t="s">
        <v>0</v>
      </c>
      <c r="N262" s="3" t="s">
        <v>0</v>
      </c>
    </row>
    <row r="263" spans="1:14" x14ac:dyDescent="0.3">
      <c r="A263" s="1" t="s">
        <v>605</v>
      </c>
      <c r="B263" s="1" t="s">
        <v>238</v>
      </c>
      <c r="C263" s="2" t="s">
        <v>11</v>
      </c>
      <c r="D263" s="3" t="s">
        <v>715</v>
      </c>
      <c r="E263" s="4">
        <v>84990</v>
      </c>
      <c r="F263" s="4">
        <v>68784</v>
      </c>
      <c r="G263" s="4">
        <v>73990</v>
      </c>
      <c r="H263" s="4">
        <v>59882</v>
      </c>
      <c r="I263" s="4">
        <v>11000</v>
      </c>
      <c r="J263" s="4">
        <v>8902</v>
      </c>
      <c r="K263" s="3" t="s">
        <v>680</v>
      </c>
      <c r="L263" s="3" t="s">
        <v>681</v>
      </c>
      <c r="M263" s="4" t="s">
        <v>0</v>
      </c>
      <c r="N263" s="3" t="s">
        <v>0</v>
      </c>
    </row>
    <row r="264" spans="1:14" x14ac:dyDescent="0.3">
      <c r="A264" s="1" t="s">
        <v>605</v>
      </c>
      <c r="B264" s="1" t="s">
        <v>239</v>
      </c>
      <c r="C264" s="2" t="s">
        <v>2</v>
      </c>
      <c r="D264" s="3" t="s">
        <v>715</v>
      </c>
      <c r="E264" s="4">
        <v>84990</v>
      </c>
      <c r="F264" s="4">
        <v>68784</v>
      </c>
      <c r="G264" s="4">
        <v>73990</v>
      </c>
      <c r="H264" s="4">
        <v>59882</v>
      </c>
      <c r="I264" s="4">
        <v>11000</v>
      </c>
      <c r="J264" s="4">
        <v>8902</v>
      </c>
      <c r="K264" s="3" t="s">
        <v>680</v>
      </c>
      <c r="L264" s="3" t="s">
        <v>681</v>
      </c>
      <c r="M264" s="4" t="s">
        <v>0</v>
      </c>
      <c r="N264" s="3" t="s">
        <v>0</v>
      </c>
    </row>
    <row r="265" spans="1:14" x14ac:dyDescent="0.3">
      <c r="A265" s="1" t="s">
        <v>605</v>
      </c>
      <c r="B265" s="1" t="s">
        <v>240</v>
      </c>
      <c r="C265" s="2" t="s">
        <v>666</v>
      </c>
      <c r="D265" s="3" t="s">
        <v>715</v>
      </c>
      <c r="E265" s="4">
        <v>84990</v>
      </c>
      <c r="F265" s="4">
        <v>68784</v>
      </c>
      <c r="G265" s="4">
        <v>73990</v>
      </c>
      <c r="H265" s="4">
        <v>59882</v>
      </c>
      <c r="I265" s="4">
        <v>11000</v>
      </c>
      <c r="J265" s="4">
        <v>8902</v>
      </c>
      <c r="K265" s="3" t="s">
        <v>680</v>
      </c>
      <c r="L265" s="3" t="s">
        <v>681</v>
      </c>
      <c r="M265" s="4" t="s">
        <v>0</v>
      </c>
      <c r="N265" s="3" t="s">
        <v>0</v>
      </c>
    </row>
    <row r="266" spans="1:14" x14ac:dyDescent="0.3">
      <c r="A266" s="1" t="s">
        <v>605</v>
      </c>
      <c r="B266" s="1" t="s">
        <v>241</v>
      </c>
      <c r="C266" s="2" t="s">
        <v>667</v>
      </c>
      <c r="D266" s="3" t="s">
        <v>715</v>
      </c>
      <c r="E266" s="4">
        <v>84990</v>
      </c>
      <c r="F266" s="4">
        <v>68784</v>
      </c>
      <c r="G266" s="4">
        <v>73990</v>
      </c>
      <c r="H266" s="4">
        <v>59882</v>
      </c>
      <c r="I266" s="4">
        <v>11000</v>
      </c>
      <c r="J266" s="4">
        <v>8902</v>
      </c>
      <c r="K266" s="3" t="s">
        <v>680</v>
      </c>
      <c r="L266" s="3" t="s">
        <v>681</v>
      </c>
      <c r="M266" s="4" t="s">
        <v>0</v>
      </c>
      <c r="N266" s="3" t="s">
        <v>0</v>
      </c>
    </row>
    <row r="267" spans="1:14" x14ac:dyDescent="0.3">
      <c r="A267" s="1" t="s">
        <v>605</v>
      </c>
      <c r="B267" s="1" t="s">
        <v>242</v>
      </c>
      <c r="C267" s="2" t="s">
        <v>4</v>
      </c>
      <c r="D267" s="3" t="s">
        <v>715</v>
      </c>
      <c r="E267" s="4">
        <v>84990</v>
      </c>
      <c r="F267" s="4">
        <v>68784</v>
      </c>
      <c r="G267" s="4">
        <v>73990</v>
      </c>
      <c r="H267" s="4">
        <v>59882</v>
      </c>
      <c r="I267" s="4">
        <v>11000</v>
      </c>
      <c r="J267" s="4">
        <v>8902</v>
      </c>
      <c r="K267" s="3" t="s">
        <v>680</v>
      </c>
      <c r="L267" s="3" t="s">
        <v>681</v>
      </c>
      <c r="M267" s="4" t="s">
        <v>0</v>
      </c>
      <c r="N267" s="3" t="s">
        <v>0</v>
      </c>
    </row>
    <row r="268" spans="1:14" x14ac:dyDescent="0.3">
      <c r="A268" s="1" t="s">
        <v>605</v>
      </c>
      <c r="B268" s="1" t="s">
        <v>243</v>
      </c>
      <c r="C268" s="2" t="s">
        <v>666</v>
      </c>
      <c r="D268" s="3" t="s">
        <v>715</v>
      </c>
      <c r="E268" s="4">
        <v>84990</v>
      </c>
      <c r="F268" s="4">
        <v>68784</v>
      </c>
      <c r="G268" s="4">
        <v>73990</v>
      </c>
      <c r="H268" s="4">
        <v>59882</v>
      </c>
      <c r="I268" s="4">
        <v>11000</v>
      </c>
      <c r="J268" s="4">
        <v>8902</v>
      </c>
      <c r="K268" s="3" t="s">
        <v>680</v>
      </c>
      <c r="L268" s="3" t="s">
        <v>681</v>
      </c>
      <c r="M268" s="4" t="s">
        <v>0</v>
      </c>
      <c r="N268" s="3" t="s">
        <v>0</v>
      </c>
    </row>
    <row r="269" spans="1:14" x14ac:dyDescent="0.3">
      <c r="A269" s="1" t="s">
        <v>605</v>
      </c>
      <c r="B269" s="1" t="s">
        <v>244</v>
      </c>
      <c r="C269" s="2" t="s">
        <v>2</v>
      </c>
      <c r="D269" s="3" t="s">
        <v>715</v>
      </c>
      <c r="E269" s="4">
        <v>84990</v>
      </c>
      <c r="F269" s="4">
        <v>68784</v>
      </c>
      <c r="G269" s="4">
        <v>73990</v>
      </c>
      <c r="H269" s="4">
        <v>59882</v>
      </c>
      <c r="I269" s="4">
        <v>11000</v>
      </c>
      <c r="J269" s="4">
        <v>8902</v>
      </c>
      <c r="K269" s="3" t="s">
        <v>680</v>
      </c>
      <c r="L269" s="3" t="s">
        <v>681</v>
      </c>
      <c r="M269" s="4" t="s">
        <v>0</v>
      </c>
      <c r="N269" s="3" t="s">
        <v>0</v>
      </c>
    </row>
    <row r="270" spans="1:14" x14ac:dyDescent="0.3">
      <c r="A270" s="1" t="s">
        <v>605</v>
      </c>
      <c r="B270" s="1" t="s">
        <v>245</v>
      </c>
      <c r="C270" s="2" t="s">
        <v>16</v>
      </c>
      <c r="D270" s="3" t="s">
        <v>715</v>
      </c>
      <c r="E270" s="4">
        <v>84990</v>
      </c>
      <c r="F270" s="4">
        <v>68784</v>
      </c>
      <c r="G270" s="4">
        <v>73990</v>
      </c>
      <c r="H270" s="4">
        <v>59882</v>
      </c>
      <c r="I270" s="4">
        <v>11000</v>
      </c>
      <c r="J270" s="4">
        <v>8902</v>
      </c>
      <c r="K270" s="3" t="s">
        <v>680</v>
      </c>
      <c r="L270" s="3" t="s">
        <v>681</v>
      </c>
      <c r="M270" s="4" t="s">
        <v>0</v>
      </c>
      <c r="N270" s="3" t="s">
        <v>0</v>
      </c>
    </row>
    <row r="271" spans="1:14" x14ac:dyDescent="0.3">
      <c r="A271" s="1" t="s">
        <v>608</v>
      </c>
      <c r="B271" s="1" t="s">
        <v>254</v>
      </c>
      <c r="C271" s="2" t="s">
        <v>2</v>
      </c>
      <c r="D271" s="3" t="s">
        <v>721</v>
      </c>
      <c r="E271" s="4">
        <v>82990</v>
      </c>
      <c r="F271" s="4">
        <v>67166</v>
      </c>
      <c r="G271" s="4">
        <v>74990</v>
      </c>
      <c r="H271" s="4">
        <v>60691</v>
      </c>
      <c r="I271" s="4">
        <v>8000</v>
      </c>
      <c r="J271" s="4">
        <v>6475</v>
      </c>
      <c r="K271" s="3" t="s">
        <v>680</v>
      </c>
      <c r="L271" s="3" t="s">
        <v>681</v>
      </c>
      <c r="M271" s="4" t="s">
        <v>0</v>
      </c>
      <c r="N271" s="3" t="s">
        <v>0</v>
      </c>
    </row>
    <row r="272" spans="1:14" x14ac:dyDescent="0.3">
      <c r="A272" s="1" t="s">
        <v>608</v>
      </c>
      <c r="B272" s="1" t="s">
        <v>255</v>
      </c>
      <c r="C272" s="2" t="s">
        <v>666</v>
      </c>
      <c r="D272" s="3" t="s">
        <v>721</v>
      </c>
      <c r="E272" s="4">
        <v>82990</v>
      </c>
      <c r="F272" s="4">
        <v>67166</v>
      </c>
      <c r="G272" s="4">
        <v>74990</v>
      </c>
      <c r="H272" s="4">
        <v>60691</v>
      </c>
      <c r="I272" s="4">
        <v>8000</v>
      </c>
      <c r="J272" s="4">
        <v>6475</v>
      </c>
      <c r="K272" s="3" t="s">
        <v>680</v>
      </c>
      <c r="L272" s="3" t="s">
        <v>681</v>
      </c>
      <c r="M272" s="4" t="s">
        <v>0</v>
      </c>
      <c r="N272" s="3" t="s">
        <v>0</v>
      </c>
    </row>
    <row r="273" spans="1:14" x14ac:dyDescent="0.3">
      <c r="A273" s="1" t="s">
        <v>608</v>
      </c>
      <c r="B273" s="1" t="s">
        <v>256</v>
      </c>
      <c r="C273" s="2" t="s">
        <v>16</v>
      </c>
      <c r="D273" s="3" t="s">
        <v>721</v>
      </c>
      <c r="E273" s="4">
        <v>82990</v>
      </c>
      <c r="F273" s="4">
        <v>67166</v>
      </c>
      <c r="G273" s="4">
        <v>74990</v>
      </c>
      <c r="H273" s="4">
        <v>60691</v>
      </c>
      <c r="I273" s="4">
        <v>8000</v>
      </c>
      <c r="J273" s="4">
        <v>6475</v>
      </c>
      <c r="K273" s="3" t="s">
        <v>680</v>
      </c>
      <c r="L273" s="3" t="s">
        <v>681</v>
      </c>
      <c r="M273" s="4" t="s">
        <v>0</v>
      </c>
      <c r="N273" s="3" t="s">
        <v>0</v>
      </c>
    </row>
    <row r="274" spans="1:14" x14ac:dyDescent="0.3">
      <c r="A274" s="1" t="s">
        <v>567</v>
      </c>
      <c r="B274" s="1" t="s">
        <v>64</v>
      </c>
      <c r="C274" s="2" t="s">
        <v>24</v>
      </c>
      <c r="D274" s="3" t="s">
        <v>694</v>
      </c>
      <c r="E274" s="4">
        <v>88990</v>
      </c>
      <c r="F274" s="4">
        <v>72022</v>
      </c>
      <c r="G274" s="4">
        <v>74990</v>
      </c>
      <c r="H274" s="4">
        <v>60691</v>
      </c>
      <c r="I274" s="4">
        <v>14000</v>
      </c>
      <c r="J274" s="4">
        <v>11331</v>
      </c>
      <c r="K274" s="3" t="s">
        <v>680</v>
      </c>
      <c r="L274" s="3" t="s">
        <v>689</v>
      </c>
      <c r="M274" s="4" t="s">
        <v>0</v>
      </c>
      <c r="N274" s="3" t="s">
        <v>0</v>
      </c>
    </row>
    <row r="275" spans="1:14" x14ac:dyDescent="0.3">
      <c r="A275" s="1" t="s">
        <v>567</v>
      </c>
      <c r="B275" s="1" t="s">
        <v>65</v>
      </c>
      <c r="C275" s="2" t="s">
        <v>667</v>
      </c>
      <c r="D275" s="3" t="s">
        <v>694</v>
      </c>
      <c r="E275" s="4">
        <v>88990</v>
      </c>
      <c r="F275" s="4">
        <v>72022</v>
      </c>
      <c r="G275" s="4">
        <v>74990</v>
      </c>
      <c r="H275" s="4">
        <v>60691</v>
      </c>
      <c r="I275" s="4">
        <v>14000</v>
      </c>
      <c r="J275" s="4">
        <v>11331</v>
      </c>
      <c r="K275" s="3" t="s">
        <v>680</v>
      </c>
      <c r="L275" s="3" t="s">
        <v>689</v>
      </c>
      <c r="M275" s="4" t="s">
        <v>0</v>
      </c>
      <c r="N275" s="3" t="s">
        <v>0</v>
      </c>
    </row>
    <row r="276" spans="1:14" x14ac:dyDescent="0.3">
      <c r="A276" s="1" t="s">
        <v>567</v>
      </c>
      <c r="B276" s="1" t="s">
        <v>66</v>
      </c>
      <c r="C276" s="2" t="s">
        <v>67</v>
      </c>
      <c r="D276" s="3" t="s">
        <v>694</v>
      </c>
      <c r="E276" s="4">
        <v>88990</v>
      </c>
      <c r="F276" s="4">
        <v>72022</v>
      </c>
      <c r="G276" s="4">
        <v>74990</v>
      </c>
      <c r="H276" s="4">
        <v>60691</v>
      </c>
      <c r="I276" s="4">
        <v>14000</v>
      </c>
      <c r="J276" s="4">
        <v>11331</v>
      </c>
      <c r="K276" s="3" t="s">
        <v>680</v>
      </c>
      <c r="L276" s="3" t="s">
        <v>689</v>
      </c>
      <c r="M276" s="4" t="s">
        <v>0</v>
      </c>
      <c r="N276" s="3" t="s">
        <v>0</v>
      </c>
    </row>
    <row r="277" spans="1:14" x14ac:dyDescent="0.3">
      <c r="A277" s="1" t="s">
        <v>567</v>
      </c>
      <c r="B277" s="1" t="s">
        <v>68</v>
      </c>
      <c r="C277" s="2" t="s">
        <v>13</v>
      </c>
      <c r="D277" s="3" t="s">
        <v>694</v>
      </c>
      <c r="E277" s="4">
        <v>88990</v>
      </c>
      <c r="F277" s="4">
        <v>72022</v>
      </c>
      <c r="G277" s="4">
        <v>74990</v>
      </c>
      <c r="H277" s="4">
        <v>60691</v>
      </c>
      <c r="I277" s="4">
        <v>14000</v>
      </c>
      <c r="J277" s="4">
        <v>11331</v>
      </c>
      <c r="K277" s="3" t="s">
        <v>680</v>
      </c>
      <c r="L277" s="3" t="s">
        <v>689</v>
      </c>
      <c r="M277" s="4" t="s">
        <v>0</v>
      </c>
      <c r="N277" s="3" t="s">
        <v>0</v>
      </c>
    </row>
    <row r="278" spans="1:14" x14ac:dyDescent="0.3">
      <c r="A278" s="1" t="s">
        <v>567</v>
      </c>
      <c r="B278" s="1" t="s">
        <v>69</v>
      </c>
      <c r="C278" s="2" t="s">
        <v>2</v>
      </c>
      <c r="D278" s="3" t="s">
        <v>694</v>
      </c>
      <c r="E278" s="4">
        <v>88990</v>
      </c>
      <c r="F278" s="4">
        <v>72022</v>
      </c>
      <c r="G278" s="4">
        <v>74990</v>
      </c>
      <c r="H278" s="4">
        <v>60691</v>
      </c>
      <c r="I278" s="4">
        <v>14000</v>
      </c>
      <c r="J278" s="4">
        <v>11331</v>
      </c>
      <c r="K278" s="3" t="s">
        <v>680</v>
      </c>
      <c r="L278" s="3" t="s">
        <v>689</v>
      </c>
      <c r="M278" s="4" t="s">
        <v>0</v>
      </c>
      <c r="N278" s="3" t="s">
        <v>0</v>
      </c>
    </row>
    <row r="279" spans="1:14" x14ac:dyDescent="0.3">
      <c r="A279" s="1" t="s">
        <v>567</v>
      </c>
      <c r="B279" s="1" t="s">
        <v>70</v>
      </c>
      <c r="C279" s="2" t="s">
        <v>666</v>
      </c>
      <c r="D279" s="3" t="s">
        <v>694</v>
      </c>
      <c r="E279" s="4">
        <v>88990</v>
      </c>
      <c r="F279" s="4">
        <v>72022</v>
      </c>
      <c r="G279" s="4">
        <v>74990</v>
      </c>
      <c r="H279" s="4">
        <v>60691</v>
      </c>
      <c r="I279" s="4">
        <v>14000</v>
      </c>
      <c r="J279" s="4">
        <v>11331</v>
      </c>
      <c r="K279" s="3" t="s">
        <v>680</v>
      </c>
      <c r="L279" s="3" t="s">
        <v>689</v>
      </c>
      <c r="M279" s="4" t="s">
        <v>0</v>
      </c>
      <c r="N279" s="3" t="s">
        <v>0</v>
      </c>
    </row>
    <row r="280" spans="1:14" x14ac:dyDescent="0.3">
      <c r="A280" s="1" t="s">
        <v>567</v>
      </c>
      <c r="B280" s="1" t="s">
        <v>71</v>
      </c>
      <c r="C280" s="2" t="s">
        <v>2</v>
      </c>
      <c r="D280" s="3" t="s">
        <v>694</v>
      </c>
      <c r="E280" s="4">
        <v>88990</v>
      </c>
      <c r="F280" s="4">
        <v>72022</v>
      </c>
      <c r="G280" s="4">
        <v>74990</v>
      </c>
      <c r="H280" s="4">
        <v>60691</v>
      </c>
      <c r="I280" s="4">
        <v>14000</v>
      </c>
      <c r="J280" s="4">
        <v>11331</v>
      </c>
      <c r="K280" s="3" t="s">
        <v>680</v>
      </c>
      <c r="L280" s="3" t="s">
        <v>689</v>
      </c>
      <c r="M280" s="4" t="s">
        <v>0</v>
      </c>
      <c r="N280" s="3" t="s">
        <v>0</v>
      </c>
    </row>
    <row r="281" spans="1:14" x14ac:dyDescent="0.3">
      <c r="A281" s="1" t="s">
        <v>567</v>
      </c>
      <c r="B281" s="1" t="s">
        <v>72</v>
      </c>
      <c r="C281" s="2" t="s">
        <v>18</v>
      </c>
      <c r="D281" s="3" t="s">
        <v>694</v>
      </c>
      <c r="E281" s="4">
        <v>88990</v>
      </c>
      <c r="F281" s="4">
        <v>72022</v>
      </c>
      <c r="G281" s="4">
        <v>74990</v>
      </c>
      <c r="H281" s="4">
        <v>60691</v>
      </c>
      <c r="I281" s="4">
        <v>14000</v>
      </c>
      <c r="J281" s="4">
        <v>11331</v>
      </c>
      <c r="K281" s="3" t="s">
        <v>680</v>
      </c>
      <c r="L281" s="3" t="s">
        <v>689</v>
      </c>
      <c r="M281" s="4" t="s">
        <v>0</v>
      </c>
      <c r="N281" s="3" t="s">
        <v>0</v>
      </c>
    </row>
    <row r="282" spans="1:14" x14ac:dyDescent="0.3">
      <c r="A282" s="1" t="s">
        <v>567</v>
      </c>
      <c r="B282" s="1" t="s">
        <v>73</v>
      </c>
      <c r="C282" s="2" t="s">
        <v>666</v>
      </c>
      <c r="D282" s="3" t="s">
        <v>694</v>
      </c>
      <c r="E282" s="4">
        <v>88990</v>
      </c>
      <c r="F282" s="4">
        <v>72022</v>
      </c>
      <c r="G282" s="4">
        <v>74990</v>
      </c>
      <c r="H282" s="4">
        <v>60691</v>
      </c>
      <c r="I282" s="4">
        <v>14000</v>
      </c>
      <c r="J282" s="4">
        <v>11331</v>
      </c>
      <c r="K282" s="3" t="s">
        <v>680</v>
      </c>
      <c r="L282" s="3" t="s">
        <v>689</v>
      </c>
      <c r="M282" s="4" t="s">
        <v>0</v>
      </c>
      <c r="N282" s="3" t="s">
        <v>0</v>
      </c>
    </row>
    <row r="283" spans="1:14" x14ac:dyDescent="0.3">
      <c r="A283" s="8" t="s">
        <v>924</v>
      </c>
      <c r="B283" s="8" t="s">
        <v>869</v>
      </c>
      <c r="C283" s="8" t="s">
        <v>815</v>
      </c>
      <c r="D283" s="3" t="s">
        <v>964</v>
      </c>
      <c r="G283" s="4">
        <v>75000</v>
      </c>
      <c r="H283" s="4">
        <v>56942</v>
      </c>
      <c r="J283" s="4">
        <v>3238</v>
      </c>
      <c r="K283" s="3" t="str">
        <f>IFERROR(VLOOKUP(A283,[1]Sheet5!$C:$O,12,0),"00")</f>
        <v>01 - 29 MARCH</v>
      </c>
      <c r="L283" s="3" t="str">
        <f>IFERROR(VLOOKUP(A283,[1]Sheet5!$C:$O,13,0),"00")</f>
        <v>(NB20260315)_Mar_Sellout Support_RF _Asus_Select</v>
      </c>
    </row>
    <row r="284" spans="1:14" x14ac:dyDescent="0.3">
      <c r="A284" s="8" t="s">
        <v>923</v>
      </c>
      <c r="B284" s="8" t="s">
        <v>867</v>
      </c>
      <c r="C284" s="8" t="s">
        <v>822</v>
      </c>
      <c r="D284" s="3" t="s">
        <v>755</v>
      </c>
      <c r="G284" s="4">
        <v>75000</v>
      </c>
      <c r="H284" s="4">
        <v>700</v>
      </c>
      <c r="J284" s="4" t="s">
        <v>941</v>
      </c>
      <c r="K284" s="3" t="s">
        <v>677</v>
      </c>
      <c r="L284" s="3" t="s">
        <v>784</v>
      </c>
    </row>
    <row r="285" spans="1:14" x14ac:dyDescent="0.3">
      <c r="A285" s="8" t="s">
        <v>923</v>
      </c>
      <c r="B285" s="8" t="s">
        <v>868</v>
      </c>
      <c r="C285" s="8" t="s">
        <v>815</v>
      </c>
      <c r="D285" s="3" t="s">
        <v>755</v>
      </c>
      <c r="G285" s="4">
        <v>75000</v>
      </c>
      <c r="H285" s="4">
        <v>700</v>
      </c>
      <c r="J285" s="4" t="s">
        <v>941</v>
      </c>
      <c r="K285" s="3" t="s">
        <v>677</v>
      </c>
      <c r="L285" s="3" t="s">
        <v>784</v>
      </c>
    </row>
    <row r="286" spans="1:14" x14ac:dyDescent="0.3">
      <c r="A286" s="1" t="s">
        <v>571</v>
      </c>
      <c r="B286" s="1" t="s">
        <v>103</v>
      </c>
      <c r="C286" s="2" t="s">
        <v>666</v>
      </c>
      <c r="D286" s="3" t="s">
        <v>698</v>
      </c>
      <c r="E286" s="4">
        <v>84990</v>
      </c>
      <c r="F286" s="4">
        <v>68784</v>
      </c>
      <c r="G286" s="4">
        <v>77990</v>
      </c>
      <c r="H286" s="4">
        <v>63119</v>
      </c>
      <c r="I286" s="4">
        <v>7000</v>
      </c>
      <c r="J286" s="4">
        <v>5665</v>
      </c>
      <c r="K286" s="3" t="s">
        <v>677</v>
      </c>
      <c r="L286" s="3" t="s">
        <v>687</v>
      </c>
      <c r="M286" s="4" t="s">
        <v>0</v>
      </c>
      <c r="N286" s="3" t="s">
        <v>0</v>
      </c>
    </row>
    <row r="287" spans="1:14" x14ac:dyDescent="0.3">
      <c r="A287" s="8" t="s">
        <v>925</v>
      </c>
      <c r="B287" s="8" t="s">
        <v>870</v>
      </c>
      <c r="C287" s="8" t="s">
        <v>822</v>
      </c>
      <c r="D287" s="3" t="s">
        <v>965</v>
      </c>
      <c r="G287" s="4">
        <v>78000</v>
      </c>
      <c r="H287" s="4">
        <v>60180</v>
      </c>
      <c r="J287" s="4">
        <v>5665</v>
      </c>
      <c r="K287" s="3" t="str">
        <f>IFERROR(VLOOKUP(A287,[1]Sheet5!$C:$O,12,0),"00")</f>
        <v>01 - 29 MARCH</v>
      </c>
      <c r="L287" s="3" t="str">
        <f>IFERROR(VLOOKUP(A287,[1]Sheet5!$C:$O,13,0),"00")</f>
        <v>(NB20260315)_Mar_Sellout Support_RF _Asus_Select</v>
      </c>
    </row>
    <row r="288" spans="1:14" x14ac:dyDescent="0.3">
      <c r="A288" s="8" t="s">
        <v>926</v>
      </c>
      <c r="B288" s="8" t="s">
        <v>871</v>
      </c>
      <c r="C288" s="8" t="s">
        <v>815</v>
      </c>
      <c r="D288" s="3" t="s">
        <v>966</v>
      </c>
      <c r="G288" s="4">
        <v>78000</v>
      </c>
      <c r="H288" s="4">
        <v>60180</v>
      </c>
      <c r="J288" s="4">
        <v>5665</v>
      </c>
      <c r="K288" s="3" t="str">
        <f>IFERROR(VLOOKUP(A288,[1]Sheet5!$C:$O,12,0),"00")</f>
        <v>01 - 29 MARCH</v>
      </c>
      <c r="L288" s="3" t="str">
        <f>IFERROR(VLOOKUP(A288,[1]Sheet5!$C:$O,13,0),"00")</f>
        <v>(NB20260315)_Mar_Sellout Support_RF _Asus_Select</v>
      </c>
    </row>
    <row r="289" spans="1:14" x14ac:dyDescent="0.3">
      <c r="A289" s="8" t="s">
        <v>926</v>
      </c>
      <c r="B289" s="8" t="s">
        <v>872</v>
      </c>
      <c r="C289" s="8" t="s">
        <v>815</v>
      </c>
      <c r="D289" s="3" t="s">
        <v>966</v>
      </c>
      <c r="G289" s="4">
        <v>78000</v>
      </c>
      <c r="H289" s="4">
        <v>60180</v>
      </c>
      <c r="J289" s="4">
        <v>5665</v>
      </c>
      <c r="K289" s="3" t="str">
        <f>IFERROR(VLOOKUP(A289,[1]Sheet5!$C:$O,12,0),"00")</f>
        <v>01 - 29 MARCH</v>
      </c>
      <c r="L289" s="3" t="str">
        <f>IFERROR(VLOOKUP(A289,[1]Sheet5!$C:$O,13,0),"00")</f>
        <v>(NB20260315)_Mar_Sellout Support_RF _Asus_Select</v>
      </c>
    </row>
    <row r="290" spans="1:14" x14ac:dyDescent="0.3">
      <c r="A290" s="1" t="s">
        <v>554</v>
      </c>
      <c r="B290" s="1" t="s">
        <v>529</v>
      </c>
      <c r="C290" s="2" t="s">
        <v>16</v>
      </c>
      <c r="D290" s="3" t="s">
        <v>728</v>
      </c>
      <c r="E290" s="4">
        <v>84990</v>
      </c>
      <c r="F290" s="4">
        <v>68784</v>
      </c>
      <c r="G290" s="4">
        <v>78990</v>
      </c>
      <c r="H290" s="4">
        <v>63928</v>
      </c>
      <c r="I290" s="4">
        <v>6000</v>
      </c>
      <c r="J290" s="4">
        <v>4856</v>
      </c>
      <c r="K290" s="3" t="s">
        <v>680</v>
      </c>
      <c r="L290" s="3" t="s">
        <v>727</v>
      </c>
      <c r="M290" s="4" t="s">
        <v>0</v>
      </c>
      <c r="N290" s="3" t="s">
        <v>0</v>
      </c>
    </row>
    <row r="291" spans="1:14" x14ac:dyDescent="0.3">
      <c r="A291" s="1" t="s">
        <v>554</v>
      </c>
      <c r="B291" s="1" t="s">
        <v>530</v>
      </c>
      <c r="C291" s="2" t="s">
        <v>11</v>
      </c>
      <c r="D291" s="3" t="s">
        <v>728</v>
      </c>
      <c r="E291" s="4">
        <v>84990</v>
      </c>
      <c r="F291" s="4">
        <v>68784</v>
      </c>
      <c r="G291" s="4">
        <v>78990</v>
      </c>
      <c r="H291" s="4">
        <v>63928</v>
      </c>
      <c r="I291" s="4">
        <v>6000</v>
      </c>
      <c r="J291" s="4">
        <v>4856</v>
      </c>
      <c r="K291" s="3" t="s">
        <v>680</v>
      </c>
      <c r="L291" s="3" t="s">
        <v>727</v>
      </c>
      <c r="M291" s="4" t="s">
        <v>0</v>
      </c>
      <c r="N291" s="3" t="s">
        <v>0</v>
      </c>
    </row>
    <row r="292" spans="1:14" x14ac:dyDescent="0.3">
      <c r="A292" s="1" t="s">
        <v>554</v>
      </c>
      <c r="B292" s="1" t="s">
        <v>531</v>
      </c>
      <c r="C292" s="2" t="s">
        <v>666</v>
      </c>
      <c r="D292" s="3" t="s">
        <v>728</v>
      </c>
      <c r="E292" s="4">
        <v>84990</v>
      </c>
      <c r="F292" s="4">
        <v>68784</v>
      </c>
      <c r="G292" s="4">
        <v>78990</v>
      </c>
      <c r="H292" s="4">
        <v>63928</v>
      </c>
      <c r="I292" s="4">
        <v>6000</v>
      </c>
      <c r="J292" s="4">
        <v>4856</v>
      </c>
      <c r="K292" s="3" t="s">
        <v>680</v>
      </c>
      <c r="L292" s="3" t="s">
        <v>727</v>
      </c>
      <c r="M292" s="4" t="s">
        <v>0</v>
      </c>
      <c r="N292" s="3" t="s">
        <v>0</v>
      </c>
    </row>
    <row r="293" spans="1:14" x14ac:dyDescent="0.3">
      <c r="A293" s="1" t="s">
        <v>554</v>
      </c>
      <c r="B293" s="1" t="s">
        <v>532</v>
      </c>
      <c r="C293" s="2" t="s">
        <v>2</v>
      </c>
      <c r="D293" s="3" t="s">
        <v>728</v>
      </c>
      <c r="E293" s="4">
        <v>84990</v>
      </c>
      <c r="F293" s="4">
        <v>68784</v>
      </c>
      <c r="G293" s="4">
        <v>78990</v>
      </c>
      <c r="H293" s="4">
        <v>63928</v>
      </c>
      <c r="I293" s="4">
        <v>6000</v>
      </c>
      <c r="J293" s="4">
        <v>4856</v>
      </c>
      <c r="K293" s="3" t="s">
        <v>680</v>
      </c>
      <c r="L293" s="3" t="s">
        <v>727</v>
      </c>
      <c r="M293" s="4" t="s">
        <v>0</v>
      </c>
      <c r="N293" s="3" t="s">
        <v>0</v>
      </c>
    </row>
    <row r="294" spans="1:14" x14ac:dyDescent="0.3">
      <c r="A294" s="1" t="s">
        <v>554</v>
      </c>
      <c r="B294" s="1" t="s">
        <v>533</v>
      </c>
      <c r="C294" s="2" t="s">
        <v>2</v>
      </c>
      <c r="D294" s="3" t="s">
        <v>728</v>
      </c>
      <c r="E294" s="4">
        <v>84990</v>
      </c>
      <c r="F294" s="4">
        <v>68784</v>
      </c>
      <c r="G294" s="4">
        <v>78990</v>
      </c>
      <c r="H294" s="4">
        <v>63928</v>
      </c>
      <c r="I294" s="4">
        <v>6000</v>
      </c>
      <c r="J294" s="4">
        <v>4856</v>
      </c>
      <c r="K294" s="3" t="s">
        <v>680</v>
      </c>
      <c r="L294" s="3" t="s">
        <v>727</v>
      </c>
      <c r="M294" s="4" t="s">
        <v>0</v>
      </c>
      <c r="N294" s="3" t="s">
        <v>0</v>
      </c>
    </row>
    <row r="295" spans="1:14" x14ac:dyDescent="0.3">
      <c r="A295" s="1" t="s">
        <v>554</v>
      </c>
      <c r="B295" s="1" t="s">
        <v>534</v>
      </c>
      <c r="C295" s="2" t="s">
        <v>54</v>
      </c>
      <c r="D295" s="3" t="s">
        <v>728</v>
      </c>
      <c r="E295" s="4">
        <v>84990</v>
      </c>
      <c r="F295" s="4">
        <v>68784</v>
      </c>
      <c r="G295" s="4">
        <v>78990</v>
      </c>
      <c r="H295" s="4">
        <v>63928</v>
      </c>
      <c r="I295" s="4">
        <v>6000</v>
      </c>
      <c r="J295" s="4">
        <v>4856</v>
      </c>
      <c r="K295" s="3" t="s">
        <v>680</v>
      </c>
      <c r="L295" s="3" t="s">
        <v>727</v>
      </c>
      <c r="M295" s="4" t="s">
        <v>0</v>
      </c>
      <c r="N295" s="3" t="s">
        <v>0</v>
      </c>
    </row>
    <row r="296" spans="1:14" x14ac:dyDescent="0.3">
      <c r="A296" s="1" t="s">
        <v>554</v>
      </c>
      <c r="B296" s="1" t="s">
        <v>535</v>
      </c>
      <c r="C296" s="2" t="s">
        <v>51</v>
      </c>
      <c r="D296" s="3" t="s">
        <v>728</v>
      </c>
      <c r="E296" s="4">
        <v>84990</v>
      </c>
      <c r="F296" s="4">
        <v>68784</v>
      </c>
      <c r="G296" s="4">
        <v>78990</v>
      </c>
      <c r="H296" s="4">
        <v>63928</v>
      </c>
      <c r="I296" s="4">
        <v>6000</v>
      </c>
      <c r="J296" s="4">
        <v>4856</v>
      </c>
      <c r="K296" s="3" t="s">
        <v>680</v>
      </c>
      <c r="L296" s="3" t="s">
        <v>727</v>
      </c>
      <c r="M296" s="4" t="s">
        <v>0</v>
      </c>
      <c r="N296" s="3" t="s">
        <v>0</v>
      </c>
    </row>
    <row r="297" spans="1:14" x14ac:dyDescent="0.3">
      <c r="A297" s="1" t="s">
        <v>554</v>
      </c>
      <c r="B297" s="1" t="s">
        <v>536</v>
      </c>
      <c r="C297" s="2" t="s">
        <v>22</v>
      </c>
      <c r="D297" s="3" t="s">
        <v>728</v>
      </c>
      <c r="E297" s="4">
        <v>84990</v>
      </c>
      <c r="F297" s="4">
        <v>68784</v>
      </c>
      <c r="G297" s="4">
        <v>78990</v>
      </c>
      <c r="H297" s="4">
        <v>63928</v>
      </c>
      <c r="I297" s="4">
        <v>6000</v>
      </c>
      <c r="J297" s="4">
        <v>4856</v>
      </c>
      <c r="K297" s="3" t="s">
        <v>680</v>
      </c>
      <c r="L297" s="3" t="s">
        <v>727</v>
      </c>
      <c r="M297" s="4" t="s">
        <v>0</v>
      </c>
      <c r="N297" s="3" t="s">
        <v>0</v>
      </c>
    </row>
    <row r="298" spans="1:14" x14ac:dyDescent="0.3">
      <c r="A298" s="1" t="s">
        <v>554</v>
      </c>
      <c r="B298" s="1" t="s">
        <v>537</v>
      </c>
      <c r="C298" s="2" t="s">
        <v>13</v>
      </c>
      <c r="D298" s="3" t="s">
        <v>728</v>
      </c>
      <c r="E298" s="4">
        <v>84990</v>
      </c>
      <c r="F298" s="4">
        <v>68784</v>
      </c>
      <c r="G298" s="4">
        <v>78990</v>
      </c>
      <c r="H298" s="4">
        <v>63928</v>
      </c>
      <c r="I298" s="4">
        <v>6000</v>
      </c>
      <c r="J298" s="4">
        <v>4856</v>
      </c>
      <c r="K298" s="3" t="s">
        <v>680</v>
      </c>
      <c r="L298" s="3" t="s">
        <v>727</v>
      </c>
      <c r="M298" s="4" t="s">
        <v>0</v>
      </c>
      <c r="N298" s="3" t="s">
        <v>0</v>
      </c>
    </row>
    <row r="299" spans="1:14" x14ac:dyDescent="0.3">
      <c r="A299" s="1" t="s">
        <v>611</v>
      </c>
      <c r="B299" s="1" t="s">
        <v>260</v>
      </c>
      <c r="C299" s="2" t="s">
        <v>2</v>
      </c>
      <c r="D299" s="3" t="s">
        <v>724</v>
      </c>
      <c r="E299" s="4">
        <v>89990</v>
      </c>
      <c r="F299" s="4">
        <v>72831</v>
      </c>
      <c r="G299" s="4">
        <v>79990</v>
      </c>
      <c r="H299" s="4">
        <v>64738</v>
      </c>
      <c r="I299" s="4">
        <v>10000</v>
      </c>
      <c r="J299" s="4">
        <v>8093</v>
      </c>
      <c r="K299" s="3" t="s">
        <v>677</v>
      </c>
      <c r="L299" s="3" t="s">
        <v>702</v>
      </c>
      <c r="M299" s="4" t="s">
        <v>0</v>
      </c>
      <c r="N299" s="3" t="s">
        <v>0</v>
      </c>
    </row>
    <row r="300" spans="1:14" x14ac:dyDescent="0.3">
      <c r="A300" s="1" t="s">
        <v>611</v>
      </c>
      <c r="B300" s="1" t="s">
        <v>261</v>
      </c>
      <c r="C300" s="2" t="s">
        <v>9</v>
      </c>
      <c r="D300" s="3" t="s">
        <v>724</v>
      </c>
      <c r="E300" s="4">
        <v>89990</v>
      </c>
      <c r="F300" s="4">
        <v>72831</v>
      </c>
      <c r="G300" s="4">
        <v>79990</v>
      </c>
      <c r="H300" s="4">
        <v>64738</v>
      </c>
      <c r="I300" s="4">
        <v>10000</v>
      </c>
      <c r="J300" s="4">
        <v>8093</v>
      </c>
      <c r="K300" s="3" t="s">
        <v>677</v>
      </c>
      <c r="L300" s="3" t="s">
        <v>702</v>
      </c>
      <c r="M300" s="4" t="s">
        <v>0</v>
      </c>
      <c r="N300" s="3" t="s">
        <v>0</v>
      </c>
    </row>
    <row r="301" spans="1:14" x14ac:dyDescent="0.3">
      <c r="A301" s="1" t="s">
        <v>611</v>
      </c>
      <c r="B301" s="1" t="s">
        <v>262</v>
      </c>
      <c r="C301" s="2" t="s">
        <v>18</v>
      </c>
      <c r="D301" s="3" t="s">
        <v>724</v>
      </c>
      <c r="E301" s="4">
        <v>89990</v>
      </c>
      <c r="F301" s="4">
        <v>72831</v>
      </c>
      <c r="G301" s="4">
        <v>79990</v>
      </c>
      <c r="H301" s="4">
        <v>64738</v>
      </c>
      <c r="I301" s="4">
        <v>10000</v>
      </c>
      <c r="J301" s="4">
        <v>8093</v>
      </c>
      <c r="K301" s="3" t="s">
        <v>677</v>
      </c>
      <c r="L301" s="3" t="s">
        <v>702</v>
      </c>
      <c r="M301" s="4" t="s">
        <v>0</v>
      </c>
      <c r="N301" s="3" t="s">
        <v>0</v>
      </c>
    </row>
    <row r="302" spans="1:14" x14ac:dyDescent="0.3">
      <c r="A302" s="1" t="s">
        <v>611</v>
      </c>
      <c r="B302" s="1" t="s">
        <v>263</v>
      </c>
      <c r="C302" s="2" t="s">
        <v>18</v>
      </c>
      <c r="D302" s="3" t="s">
        <v>724</v>
      </c>
      <c r="E302" s="4">
        <v>89990</v>
      </c>
      <c r="F302" s="4">
        <v>72831</v>
      </c>
      <c r="G302" s="4">
        <v>79990</v>
      </c>
      <c r="H302" s="4">
        <v>64738</v>
      </c>
      <c r="I302" s="4">
        <v>10000</v>
      </c>
      <c r="J302" s="4">
        <v>8093</v>
      </c>
      <c r="K302" s="3" t="s">
        <v>677</v>
      </c>
      <c r="L302" s="3" t="s">
        <v>702</v>
      </c>
      <c r="M302" s="4" t="s">
        <v>0</v>
      </c>
      <c r="N302" s="3" t="s">
        <v>0</v>
      </c>
    </row>
    <row r="303" spans="1:14" x14ac:dyDescent="0.3">
      <c r="A303" s="1" t="s">
        <v>611</v>
      </c>
      <c r="B303" s="1" t="s">
        <v>264</v>
      </c>
      <c r="C303" s="2" t="s">
        <v>2</v>
      </c>
      <c r="D303" s="3" t="s">
        <v>724</v>
      </c>
      <c r="E303" s="4">
        <v>89990</v>
      </c>
      <c r="F303" s="4">
        <v>72831</v>
      </c>
      <c r="G303" s="4">
        <v>79990</v>
      </c>
      <c r="H303" s="4">
        <v>64738</v>
      </c>
      <c r="I303" s="4">
        <v>10000</v>
      </c>
      <c r="J303" s="4">
        <v>8093</v>
      </c>
      <c r="K303" s="3" t="s">
        <v>677</v>
      </c>
      <c r="L303" s="3" t="s">
        <v>702</v>
      </c>
      <c r="M303" s="4" t="s">
        <v>0</v>
      </c>
      <c r="N303" s="3" t="s">
        <v>0</v>
      </c>
    </row>
    <row r="304" spans="1:14" x14ac:dyDescent="0.3">
      <c r="A304" s="1" t="s">
        <v>611</v>
      </c>
      <c r="B304" s="1" t="s">
        <v>265</v>
      </c>
      <c r="C304" s="2" t="s">
        <v>18</v>
      </c>
      <c r="D304" s="3" t="s">
        <v>724</v>
      </c>
      <c r="E304" s="4">
        <v>89990</v>
      </c>
      <c r="F304" s="4">
        <v>72831</v>
      </c>
      <c r="G304" s="4">
        <v>79990</v>
      </c>
      <c r="H304" s="4">
        <v>64738</v>
      </c>
      <c r="I304" s="4">
        <v>10000</v>
      </c>
      <c r="J304" s="4">
        <v>8093</v>
      </c>
      <c r="K304" s="3" t="s">
        <v>677</v>
      </c>
      <c r="L304" s="3" t="s">
        <v>702</v>
      </c>
      <c r="M304" s="4" t="s">
        <v>0</v>
      </c>
      <c r="N304" s="3" t="s">
        <v>0</v>
      </c>
    </row>
    <row r="305" spans="1:14" x14ac:dyDescent="0.3">
      <c r="A305" s="1" t="s">
        <v>611</v>
      </c>
      <c r="B305" s="1" t="s">
        <v>266</v>
      </c>
      <c r="C305" s="2" t="s">
        <v>666</v>
      </c>
      <c r="D305" s="3" t="s">
        <v>724</v>
      </c>
      <c r="E305" s="4">
        <v>89990</v>
      </c>
      <c r="F305" s="4">
        <v>72831</v>
      </c>
      <c r="G305" s="4">
        <v>79990</v>
      </c>
      <c r="H305" s="4">
        <v>64738</v>
      </c>
      <c r="I305" s="4">
        <v>10000</v>
      </c>
      <c r="J305" s="4">
        <v>8093</v>
      </c>
      <c r="K305" s="3" t="s">
        <v>677</v>
      </c>
      <c r="L305" s="3" t="s">
        <v>702</v>
      </c>
      <c r="M305" s="4" t="s">
        <v>0</v>
      </c>
      <c r="N305" s="3" t="s">
        <v>0</v>
      </c>
    </row>
    <row r="306" spans="1:14" x14ac:dyDescent="0.3">
      <c r="A306" s="1" t="s">
        <v>611</v>
      </c>
      <c r="B306" s="1" t="s">
        <v>267</v>
      </c>
      <c r="C306" s="2" t="s">
        <v>18</v>
      </c>
      <c r="D306" s="3" t="s">
        <v>724</v>
      </c>
      <c r="E306" s="4">
        <v>89990</v>
      </c>
      <c r="F306" s="4">
        <v>72831</v>
      </c>
      <c r="G306" s="4">
        <v>79990</v>
      </c>
      <c r="H306" s="4">
        <v>64738</v>
      </c>
      <c r="I306" s="4">
        <v>10000</v>
      </c>
      <c r="J306" s="4">
        <v>8093</v>
      </c>
      <c r="K306" s="3" t="s">
        <v>677</v>
      </c>
      <c r="L306" s="3" t="s">
        <v>702</v>
      </c>
      <c r="M306" s="4" t="s">
        <v>0</v>
      </c>
      <c r="N306" s="3" t="s">
        <v>0</v>
      </c>
    </row>
    <row r="307" spans="1:14" x14ac:dyDescent="0.3">
      <c r="A307" s="1" t="s">
        <v>611</v>
      </c>
      <c r="B307" s="1" t="s">
        <v>268</v>
      </c>
      <c r="C307" s="2" t="s">
        <v>2</v>
      </c>
      <c r="D307" s="3" t="s">
        <v>724</v>
      </c>
      <c r="E307" s="4">
        <v>89990</v>
      </c>
      <c r="F307" s="4">
        <v>72831</v>
      </c>
      <c r="G307" s="4">
        <v>79990</v>
      </c>
      <c r="H307" s="4">
        <v>64738</v>
      </c>
      <c r="I307" s="4">
        <v>10000</v>
      </c>
      <c r="J307" s="4">
        <v>8093</v>
      </c>
      <c r="K307" s="3" t="s">
        <v>677</v>
      </c>
      <c r="L307" s="3" t="s">
        <v>702</v>
      </c>
      <c r="M307" s="4" t="s">
        <v>0</v>
      </c>
      <c r="N307" s="3" t="s">
        <v>0</v>
      </c>
    </row>
    <row r="308" spans="1:14" x14ac:dyDescent="0.3">
      <c r="A308" s="1" t="s">
        <v>611</v>
      </c>
      <c r="B308" s="1" t="s">
        <v>269</v>
      </c>
      <c r="C308" s="2" t="s">
        <v>31</v>
      </c>
      <c r="D308" s="3" t="s">
        <v>724</v>
      </c>
      <c r="E308" s="4">
        <v>89990</v>
      </c>
      <c r="F308" s="4">
        <v>72831</v>
      </c>
      <c r="G308" s="4">
        <v>79990</v>
      </c>
      <c r="H308" s="4">
        <v>64738</v>
      </c>
      <c r="I308" s="4">
        <v>10000</v>
      </c>
      <c r="J308" s="4">
        <v>8093</v>
      </c>
      <c r="K308" s="3" t="s">
        <v>677</v>
      </c>
      <c r="L308" s="3" t="s">
        <v>702</v>
      </c>
      <c r="M308" s="4" t="s">
        <v>0</v>
      </c>
      <c r="N308" s="3" t="s">
        <v>0</v>
      </c>
    </row>
    <row r="309" spans="1:14" x14ac:dyDescent="0.3">
      <c r="A309" s="1" t="s">
        <v>611</v>
      </c>
      <c r="B309" s="1" t="s">
        <v>270</v>
      </c>
      <c r="C309" s="2" t="s">
        <v>18</v>
      </c>
      <c r="D309" s="3" t="s">
        <v>724</v>
      </c>
      <c r="E309" s="4">
        <v>89990</v>
      </c>
      <c r="F309" s="4">
        <v>72831</v>
      </c>
      <c r="G309" s="4">
        <v>79990</v>
      </c>
      <c r="H309" s="4">
        <v>64738</v>
      </c>
      <c r="I309" s="4">
        <v>10000</v>
      </c>
      <c r="J309" s="4">
        <v>8093</v>
      </c>
      <c r="K309" s="3" t="s">
        <v>677</v>
      </c>
      <c r="L309" s="3" t="s">
        <v>702</v>
      </c>
      <c r="M309" s="4" t="s">
        <v>0</v>
      </c>
      <c r="N309" s="3" t="s">
        <v>0</v>
      </c>
    </row>
    <row r="310" spans="1:14" x14ac:dyDescent="0.3">
      <c r="A310" s="1" t="s">
        <v>611</v>
      </c>
      <c r="B310" s="1" t="s">
        <v>271</v>
      </c>
      <c r="C310" s="2" t="s">
        <v>2</v>
      </c>
      <c r="D310" s="3" t="s">
        <v>724</v>
      </c>
      <c r="E310" s="4">
        <v>89990</v>
      </c>
      <c r="F310" s="4">
        <v>72831</v>
      </c>
      <c r="G310" s="4">
        <v>79990</v>
      </c>
      <c r="H310" s="4">
        <v>64738</v>
      </c>
      <c r="I310" s="4">
        <v>10000</v>
      </c>
      <c r="J310" s="4">
        <v>8093</v>
      </c>
      <c r="K310" s="3" t="s">
        <v>677</v>
      </c>
      <c r="L310" s="3" t="s">
        <v>702</v>
      </c>
      <c r="M310" s="4" t="s">
        <v>0</v>
      </c>
      <c r="N310" s="3" t="s">
        <v>0</v>
      </c>
    </row>
    <row r="311" spans="1:14" x14ac:dyDescent="0.3">
      <c r="A311" s="1" t="s">
        <v>611</v>
      </c>
      <c r="B311" s="1" t="s">
        <v>272</v>
      </c>
      <c r="C311" s="2" t="s">
        <v>13</v>
      </c>
      <c r="D311" s="3" t="s">
        <v>724</v>
      </c>
      <c r="E311" s="4">
        <v>89990</v>
      </c>
      <c r="F311" s="4">
        <v>72831</v>
      </c>
      <c r="G311" s="4">
        <v>79990</v>
      </c>
      <c r="H311" s="4">
        <v>64738</v>
      </c>
      <c r="I311" s="4">
        <v>10000</v>
      </c>
      <c r="J311" s="4">
        <v>8093</v>
      </c>
      <c r="K311" s="3" t="s">
        <v>677</v>
      </c>
      <c r="L311" s="3" t="s">
        <v>702</v>
      </c>
      <c r="M311" s="4" t="s">
        <v>0</v>
      </c>
      <c r="N311" s="3" t="s">
        <v>0</v>
      </c>
    </row>
    <row r="312" spans="1:14" x14ac:dyDescent="0.3">
      <c r="A312" s="1" t="s">
        <v>611</v>
      </c>
      <c r="B312" s="1" t="s">
        <v>273</v>
      </c>
      <c r="C312" s="2" t="s">
        <v>2</v>
      </c>
      <c r="D312" s="3" t="s">
        <v>724</v>
      </c>
      <c r="E312" s="4">
        <v>89990</v>
      </c>
      <c r="F312" s="4">
        <v>72831</v>
      </c>
      <c r="G312" s="4">
        <v>79990</v>
      </c>
      <c r="H312" s="4">
        <v>64738</v>
      </c>
      <c r="I312" s="4">
        <v>10000</v>
      </c>
      <c r="J312" s="4">
        <v>8093</v>
      </c>
      <c r="K312" s="3" t="s">
        <v>677</v>
      </c>
      <c r="L312" s="3" t="s">
        <v>702</v>
      </c>
      <c r="M312" s="4" t="s">
        <v>0</v>
      </c>
      <c r="N312" s="3" t="s">
        <v>0</v>
      </c>
    </row>
    <row r="313" spans="1:14" x14ac:dyDescent="0.3">
      <c r="A313" s="1" t="s">
        <v>611</v>
      </c>
      <c r="B313" s="1" t="s">
        <v>274</v>
      </c>
      <c r="C313" s="2" t="s">
        <v>31</v>
      </c>
      <c r="D313" s="3" t="s">
        <v>724</v>
      </c>
      <c r="E313" s="4">
        <v>89990</v>
      </c>
      <c r="F313" s="4">
        <v>72831</v>
      </c>
      <c r="G313" s="4">
        <v>79990</v>
      </c>
      <c r="H313" s="4">
        <v>64738</v>
      </c>
      <c r="I313" s="4">
        <v>10000</v>
      </c>
      <c r="J313" s="4">
        <v>8093</v>
      </c>
      <c r="K313" s="3" t="s">
        <v>677</v>
      </c>
      <c r="L313" s="3" t="s">
        <v>702</v>
      </c>
      <c r="M313" s="4" t="s">
        <v>0</v>
      </c>
      <c r="N313" s="3" t="s">
        <v>0</v>
      </c>
    </row>
    <row r="314" spans="1:14" x14ac:dyDescent="0.3">
      <c r="A314" s="1" t="s">
        <v>609</v>
      </c>
      <c r="B314" s="1" t="s">
        <v>257</v>
      </c>
      <c r="C314" s="2" t="s">
        <v>2</v>
      </c>
      <c r="D314" s="3" t="s">
        <v>722</v>
      </c>
      <c r="E314" s="4">
        <v>88990</v>
      </c>
      <c r="F314" s="4">
        <v>72022</v>
      </c>
      <c r="G314" s="4">
        <v>79990</v>
      </c>
      <c r="H314" s="4">
        <v>64738</v>
      </c>
      <c r="I314" s="4">
        <v>9000</v>
      </c>
      <c r="J314" s="4">
        <v>7284</v>
      </c>
      <c r="K314" s="3" t="s">
        <v>680</v>
      </c>
      <c r="L314" s="3" t="s">
        <v>681</v>
      </c>
      <c r="M314" s="4" t="s">
        <v>0</v>
      </c>
      <c r="N314" s="3" t="s">
        <v>0</v>
      </c>
    </row>
    <row r="315" spans="1:14" x14ac:dyDescent="0.3">
      <c r="A315" s="1" t="s">
        <v>609</v>
      </c>
      <c r="B315" s="1" t="s">
        <v>258</v>
      </c>
      <c r="C315" s="2" t="s">
        <v>2</v>
      </c>
      <c r="D315" s="3" t="s">
        <v>722</v>
      </c>
      <c r="E315" s="4">
        <v>88990</v>
      </c>
      <c r="F315" s="4">
        <v>72022</v>
      </c>
      <c r="G315" s="4">
        <v>79990</v>
      </c>
      <c r="H315" s="4">
        <v>64738</v>
      </c>
      <c r="I315" s="4">
        <v>9000</v>
      </c>
      <c r="J315" s="4">
        <v>7284</v>
      </c>
      <c r="K315" s="3" t="s">
        <v>680</v>
      </c>
      <c r="L315" s="3" t="s">
        <v>681</v>
      </c>
      <c r="M315" s="4" t="s">
        <v>0</v>
      </c>
      <c r="N315" s="3" t="s">
        <v>0</v>
      </c>
    </row>
    <row r="316" spans="1:14" x14ac:dyDescent="0.3">
      <c r="A316" s="1" t="s">
        <v>625</v>
      </c>
      <c r="B316" s="1" t="s">
        <v>320</v>
      </c>
      <c r="C316" s="2" t="s">
        <v>54</v>
      </c>
      <c r="D316" s="3" t="s">
        <v>739</v>
      </c>
      <c r="E316" s="4">
        <v>89990</v>
      </c>
      <c r="F316" s="4">
        <v>72831</v>
      </c>
      <c r="G316" s="4">
        <v>80990</v>
      </c>
      <c r="H316" s="4">
        <v>65547</v>
      </c>
      <c r="I316" s="4">
        <v>9000</v>
      </c>
      <c r="J316" s="4">
        <v>7284</v>
      </c>
      <c r="K316" s="3" t="s">
        <v>677</v>
      </c>
      <c r="L316" s="3" t="s">
        <v>702</v>
      </c>
      <c r="M316" s="4" t="s">
        <v>0</v>
      </c>
      <c r="N316" s="3" t="s">
        <v>0</v>
      </c>
    </row>
    <row r="317" spans="1:14" x14ac:dyDescent="0.3">
      <c r="A317" s="1" t="s">
        <v>612</v>
      </c>
      <c r="B317" s="1" t="s">
        <v>275</v>
      </c>
      <c r="C317" s="2" t="s">
        <v>2</v>
      </c>
      <c r="D317" s="3" t="s">
        <v>725</v>
      </c>
      <c r="E317" s="4">
        <v>89990</v>
      </c>
      <c r="F317" s="4">
        <v>72831</v>
      </c>
      <c r="G317" s="4">
        <v>81990</v>
      </c>
      <c r="H317" s="4">
        <v>66356</v>
      </c>
      <c r="I317" s="4">
        <v>8000</v>
      </c>
      <c r="J317" s="4">
        <v>6475</v>
      </c>
      <c r="K317" s="3" t="s">
        <v>677</v>
      </c>
      <c r="L317" s="3" t="s">
        <v>702</v>
      </c>
      <c r="M317" s="4" t="s">
        <v>0</v>
      </c>
      <c r="N317" s="3" t="s">
        <v>0</v>
      </c>
    </row>
    <row r="318" spans="1:14" x14ac:dyDescent="0.3">
      <c r="A318" s="1" t="s">
        <v>612</v>
      </c>
      <c r="B318" s="1" t="s">
        <v>276</v>
      </c>
      <c r="C318" s="2" t="s">
        <v>11</v>
      </c>
      <c r="D318" s="3" t="s">
        <v>725</v>
      </c>
      <c r="E318" s="4">
        <v>89990</v>
      </c>
      <c r="F318" s="4">
        <v>72831</v>
      </c>
      <c r="G318" s="4">
        <v>81990</v>
      </c>
      <c r="H318" s="4">
        <v>66356</v>
      </c>
      <c r="I318" s="4">
        <v>8000</v>
      </c>
      <c r="J318" s="4">
        <v>6475</v>
      </c>
      <c r="K318" s="3" t="s">
        <v>677</v>
      </c>
      <c r="L318" s="3" t="s">
        <v>702</v>
      </c>
      <c r="M318" s="4" t="s">
        <v>0</v>
      </c>
      <c r="N318" s="3" t="s">
        <v>0</v>
      </c>
    </row>
    <row r="319" spans="1:14" x14ac:dyDescent="0.3">
      <c r="A319" s="1" t="s">
        <v>612</v>
      </c>
      <c r="B319" s="1" t="s">
        <v>277</v>
      </c>
      <c r="C319" s="2" t="s">
        <v>666</v>
      </c>
      <c r="D319" s="3" t="s">
        <v>725</v>
      </c>
      <c r="E319" s="4">
        <v>89990</v>
      </c>
      <c r="F319" s="4">
        <v>72831</v>
      </c>
      <c r="G319" s="4">
        <v>81990</v>
      </c>
      <c r="H319" s="4">
        <v>66356</v>
      </c>
      <c r="I319" s="4">
        <v>8000</v>
      </c>
      <c r="J319" s="4">
        <v>6475</v>
      </c>
      <c r="K319" s="3" t="s">
        <v>677</v>
      </c>
      <c r="L319" s="3" t="s">
        <v>702</v>
      </c>
      <c r="M319" s="4" t="s">
        <v>0</v>
      </c>
      <c r="N319" s="3" t="s">
        <v>0</v>
      </c>
    </row>
    <row r="320" spans="1:14" x14ac:dyDescent="0.3">
      <c r="A320" s="8" t="s">
        <v>927</v>
      </c>
      <c r="B320" s="8" t="s">
        <v>873</v>
      </c>
      <c r="C320" s="8" t="s">
        <v>815</v>
      </c>
      <c r="D320" s="3" t="s">
        <v>754</v>
      </c>
      <c r="G320" s="4">
        <v>82000</v>
      </c>
      <c r="H320" s="4">
        <v>700</v>
      </c>
      <c r="J320" s="4" t="s">
        <v>941</v>
      </c>
      <c r="K320" s="3" t="s">
        <v>677</v>
      </c>
      <c r="L320" s="3" t="s">
        <v>784</v>
      </c>
    </row>
    <row r="321" spans="1:14" x14ac:dyDescent="0.3">
      <c r="A321" s="8" t="s">
        <v>927</v>
      </c>
      <c r="B321" s="8" t="s">
        <v>874</v>
      </c>
      <c r="C321" s="8" t="s">
        <v>815</v>
      </c>
      <c r="D321" s="3" t="s">
        <v>754</v>
      </c>
      <c r="G321" s="4">
        <v>82000</v>
      </c>
      <c r="H321" s="4">
        <v>700</v>
      </c>
      <c r="J321" s="4" t="s">
        <v>941</v>
      </c>
      <c r="K321" s="3" t="s">
        <v>677</v>
      </c>
      <c r="L321" s="3" t="s">
        <v>784</v>
      </c>
    </row>
    <row r="322" spans="1:14" x14ac:dyDescent="0.3">
      <c r="A322" s="1" t="s">
        <v>568</v>
      </c>
      <c r="B322" s="1" t="s">
        <v>74</v>
      </c>
      <c r="C322" s="2" t="s">
        <v>2</v>
      </c>
      <c r="D322" s="3" t="s">
        <v>695</v>
      </c>
      <c r="E322" s="4">
        <v>95990</v>
      </c>
      <c r="F322" s="4">
        <v>77687</v>
      </c>
      <c r="G322" s="4">
        <v>82990</v>
      </c>
      <c r="H322" s="4">
        <v>67166</v>
      </c>
      <c r="I322" s="4">
        <v>13000</v>
      </c>
      <c r="J322" s="4">
        <v>10521</v>
      </c>
      <c r="K322" s="3" t="s">
        <v>680</v>
      </c>
      <c r="L322" s="3" t="s">
        <v>689</v>
      </c>
      <c r="M322" s="4" t="s">
        <v>0</v>
      </c>
      <c r="N322" s="3" t="s">
        <v>0</v>
      </c>
    </row>
    <row r="323" spans="1:14" x14ac:dyDescent="0.3">
      <c r="A323" s="1" t="s">
        <v>568</v>
      </c>
      <c r="B323" s="1" t="s">
        <v>75</v>
      </c>
      <c r="C323" s="2" t="s">
        <v>2</v>
      </c>
      <c r="D323" s="3" t="s">
        <v>695</v>
      </c>
      <c r="E323" s="4">
        <v>95990</v>
      </c>
      <c r="F323" s="4">
        <v>77687</v>
      </c>
      <c r="G323" s="4">
        <v>82990</v>
      </c>
      <c r="H323" s="4">
        <v>67166</v>
      </c>
      <c r="I323" s="4">
        <v>13000</v>
      </c>
      <c r="J323" s="4">
        <v>10521</v>
      </c>
      <c r="K323" s="3" t="s">
        <v>680</v>
      </c>
      <c r="L323" s="3" t="s">
        <v>689</v>
      </c>
      <c r="M323" s="4" t="s">
        <v>0</v>
      </c>
      <c r="N323" s="3" t="s">
        <v>0</v>
      </c>
    </row>
    <row r="324" spans="1:14" x14ac:dyDescent="0.3">
      <c r="A324" s="1" t="s">
        <v>568</v>
      </c>
      <c r="B324" s="1" t="s">
        <v>76</v>
      </c>
      <c r="C324" s="2" t="s">
        <v>666</v>
      </c>
      <c r="D324" s="3" t="s">
        <v>695</v>
      </c>
      <c r="E324" s="4">
        <v>95990</v>
      </c>
      <c r="F324" s="4">
        <v>77687</v>
      </c>
      <c r="G324" s="4">
        <v>82990</v>
      </c>
      <c r="H324" s="4">
        <v>67166</v>
      </c>
      <c r="I324" s="4">
        <v>13000</v>
      </c>
      <c r="J324" s="4">
        <v>10521</v>
      </c>
      <c r="K324" s="3" t="s">
        <v>680</v>
      </c>
      <c r="L324" s="3" t="s">
        <v>689</v>
      </c>
      <c r="M324" s="4" t="s">
        <v>0</v>
      </c>
      <c r="N324" s="3" t="s">
        <v>0</v>
      </c>
    </row>
    <row r="325" spans="1:14" x14ac:dyDescent="0.3">
      <c r="A325" s="1" t="s">
        <v>568</v>
      </c>
      <c r="B325" s="1" t="s">
        <v>77</v>
      </c>
      <c r="C325" s="2" t="s">
        <v>18</v>
      </c>
      <c r="D325" s="3" t="s">
        <v>695</v>
      </c>
      <c r="E325" s="4">
        <v>95990</v>
      </c>
      <c r="F325" s="4">
        <v>77687</v>
      </c>
      <c r="G325" s="4">
        <v>82990</v>
      </c>
      <c r="H325" s="4">
        <v>67166</v>
      </c>
      <c r="I325" s="4">
        <v>13000</v>
      </c>
      <c r="J325" s="4">
        <v>10521</v>
      </c>
      <c r="K325" s="3" t="s">
        <v>680</v>
      </c>
      <c r="L325" s="3" t="s">
        <v>689</v>
      </c>
      <c r="M325" s="4" t="s">
        <v>0</v>
      </c>
      <c r="N325" s="3" t="s">
        <v>0</v>
      </c>
    </row>
    <row r="326" spans="1:14" x14ac:dyDescent="0.3">
      <c r="A326" s="1" t="s">
        <v>568</v>
      </c>
      <c r="B326" s="1" t="s">
        <v>78</v>
      </c>
      <c r="C326" s="2" t="s">
        <v>31</v>
      </c>
      <c r="D326" s="3" t="s">
        <v>695</v>
      </c>
      <c r="E326" s="4">
        <v>95990</v>
      </c>
      <c r="F326" s="4">
        <v>77687</v>
      </c>
      <c r="G326" s="4">
        <v>82990</v>
      </c>
      <c r="H326" s="4">
        <v>67166</v>
      </c>
      <c r="I326" s="4">
        <v>13000</v>
      </c>
      <c r="J326" s="4">
        <v>10521</v>
      </c>
      <c r="K326" s="3" t="s">
        <v>680</v>
      </c>
      <c r="L326" s="3" t="s">
        <v>689</v>
      </c>
      <c r="M326" s="4" t="s">
        <v>0</v>
      </c>
      <c r="N326" s="3" t="s">
        <v>0</v>
      </c>
    </row>
    <row r="327" spans="1:14" x14ac:dyDescent="0.3">
      <c r="A327" s="1" t="s">
        <v>568</v>
      </c>
      <c r="B327" s="1" t="s">
        <v>79</v>
      </c>
      <c r="C327" s="2" t="s">
        <v>4</v>
      </c>
      <c r="D327" s="3" t="s">
        <v>695</v>
      </c>
      <c r="E327" s="4">
        <v>95990</v>
      </c>
      <c r="F327" s="4">
        <v>77687</v>
      </c>
      <c r="G327" s="4">
        <v>82990</v>
      </c>
      <c r="H327" s="4">
        <v>67166</v>
      </c>
      <c r="I327" s="4">
        <v>13000</v>
      </c>
      <c r="J327" s="4">
        <v>10521</v>
      </c>
      <c r="K327" s="3" t="s">
        <v>680</v>
      </c>
      <c r="L327" s="3" t="s">
        <v>689</v>
      </c>
      <c r="M327" s="4" t="s">
        <v>0</v>
      </c>
      <c r="N327" s="3" t="s">
        <v>0</v>
      </c>
    </row>
    <row r="328" spans="1:14" x14ac:dyDescent="0.3">
      <c r="A328" s="1" t="s">
        <v>568</v>
      </c>
      <c r="B328" s="1" t="s">
        <v>80</v>
      </c>
      <c r="C328" s="2" t="s">
        <v>2</v>
      </c>
      <c r="D328" s="3" t="s">
        <v>695</v>
      </c>
      <c r="E328" s="4">
        <v>95990</v>
      </c>
      <c r="F328" s="4">
        <v>77687</v>
      </c>
      <c r="G328" s="4">
        <v>82990</v>
      </c>
      <c r="H328" s="4">
        <v>67166</v>
      </c>
      <c r="I328" s="4">
        <v>13000</v>
      </c>
      <c r="J328" s="4">
        <v>10521</v>
      </c>
      <c r="K328" s="3" t="s">
        <v>680</v>
      </c>
      <c r="L328" s="3" t="s">
        <v>689</v>
      </c>
      <c r="M328" s="4" t="s">
        <v>0</v>
      </c>
      <c r="N328" s="3" t="s">
        <v>0</v>
      </c>
    </row>
    <row r="329" spans="1:14" x14ac:dyDescent="0.3">
      <c r="A329" s="1" t="s">
        <v>568</v>
      </c>
      <c r="B329" s="1" t="s">
        <v>81</v>
      </c>
      <c r="C329" s="2" t="s">
        <v>666</v>
      </c>
      <c r="D329" s="3" t="s">
        <v>695</v>
      </c>
      <c r="E329" s="4">
        <v>95990</v>
      </c>
      <c r="F329" s="4">
        <v>77687</v>
      </c>
      <c r="G329" s="4">
        <v>82990</v>
      </c>
      <c r="H329" s="4">
        <v>67166</v>
      </c>
      <c r="I329" s="4">
        <v>13000</v>
      </c>
      <c r="J329" s="4">
        <v>10521</v>
      </c>
      <c r="K329" s="3" t="s">
        <v>680</v>
      </c>
      <c r="L329" s="3" t="s">
        <v>689</v>
      </c>
      <c r="M329" s="4" t="s">
        <v>0</v>
      </c>
      <c r="N329" s="3" t="s">
        <v>0</v>
      </c>
    </row>
    <row r="330" spans="1:14" x14ac:dyDescent="0.3">
      <c r="A330" s="1" t="s">
        <v>568</v>
      </c>
      <c r="B330" s="1" t="s">
        <v>82</v>
      </c>
      <c r="C330" s="2" t="s">
        <v>18</v>
      </c>
      <c r="D330" s="3" t="s">
        <v>695</v>
      </c>
      <c r="E330" s="4">
        <v>95990</v>
      </c>
      <c r="F330" s="4">
        <v>77687</v>
      </c>
      <c r="G330" s="4">
        <v>82990</v>
      </c>
      <c r="H330" s="4">
        <v>67166</v>
      </c>
      <c r="I330" s="4">
        <v>13000</v>
      </c>
      <c r="J330" s="4">
        <v>10521</v>
      </c>
      <c r="K330" s="3" t="s">
        <v>680</v>
      </c>
      <c r="L330" s="3" t="s">
        <v>689</v>
      </c>
      <c r="M330" s="4" t="s">
        <v>0</v>
      </c>
      <c r="N330" s="3" t="s">
        <v>0</v>
      </c>
    </row>
    <row r="331" spans="1:14" x14ac:dyDescent="0.3">
      <c r="A331" s="1" t="s">
        <v>568</v>
      </c>
      <c r="B331" s="1" t="s">
        <v>83</v>
      </c>
      <c r="C331" s="2" t="s">
        <v>2</v>
      </c>
      <c r="D331" s="3" t="s">
        <v>695</v>
      </c>
      <c r="E331" s="4">
        <v>95990</v>
      </c>
      <c r="F331" s="4">
        <v>77687</v>
      </c>
      <c r="G331" s="4">
        <v>82990</v>
      </c>
      <c r="H331" s="4">
        <v>67166</v>
      </c>
      <c r="I331" s="4">
        <v>13000</v>
      </c>
      <c r="J331" s="4">
        <v>10521</v>
      </c>
      <c r="K331" s="3" t="s">
        <v>680</v>
      </c>
      <c r="L331" s="3" t="s">
        <v>689</v>
      </c>
      <c r="M331" s="4" t="s">
        <v>0</v>
      </c>
      <c r="N331" s="3" t="s">
        <v>0</v>
      </c>
    </row>
    <row r="332" spans="1:14" x14ac:dyDescent="0.3">
      <c r="A332" s="1" t="s">
        <v>568</v>
      </c>
      <c r="B332" s="1" t="s">
        <v>84</v>
      </c>
      <c r="C332" s="2" t="s">
        <v>2</v>
      </c>
      <c r="D332" s="3" t="s">
        <v>695</v>
      </c>
      <c r="E332" s="4">
        <v>95990</v>
      </c>
      <c r="F332" s="4">
        <v>77687</v>
      </c>
      <c r="G332" s="4">
        <v>82990</v>
      </c>
      <c r="H332" s="4">
        <v>67166</v>
      </c>
      <c r="I332" s="4">
        <v>13000</v>
      </c>
      <c r="J332" s="4">
        <v>10521</v>
      </c>
      <c r="K332" s="3" t="s">
        <v>680</v>
      </c>
      <c r="L332" s="3" t="s">
        <v>689</v>
      </c>
      <c r="M332" s="4" t="s">
        <v>0</v>
      </c>
      <c r="N332" s="3" t="s">
        <v>0</v>
      </c>
    </row>
    <row r="333" spans="1:14" x14ac:dyDescent="0.3">
      <c r="A333" s="1" t="s">
        <v>568</v>
      </c>
      <c r="B333" s="1" t="s">
        <v>85</v>
      </c>
      <c r="C333" s="2" t="s">
        <v>16</v>
      </c>
      <c r="D333" s="3" t="s">
        <v>695</v>
      </c>
      <c r="E333" s="4">
        <v>95990</v>
      </c>
      <c r="F333" s="4">
        <v>77687</v>
      </c>
      <c r="G333" s="4">
        <v>82990</v>
      </c>
      <c r="H333" s="4">
        <v>67166</v>
      </c>
      <c r="I333" s="4">
        <v>13000</v>
      </c>
      <c r="J333" s="4">
        <v>10521</v>
      </c>
      <c r="K333" s="3" t="s">
        <v>680</v>
      </c>
      <c r="L333" s="3" t="s">
        <v>689</v>
      </c>
      <c r="M333" s="4" t="s">
        <v>0</v>
      </c>
      <c r="N333" s="3" t="s">
        <v>0</v>
      </c>
    </row>
    <row r="334" spans="1:14" x14ac:dyDescent="0.3">
      <c r="A334" s="1" t="s">
        <v>568</v>
      </c>
      <c r="B334" s="1" t="s">
        <v>86</v>
      </c>
      <c r="C334" s="2" t="s">
        <v>2</v>
      </c>
      <c r="D334" s="3" t="s">
        <v>695</v>
      </c>
      <c r="E334" s="4">
        <v>95990</v>
      </c>
      <c r="F334" s="4">
        <v>77687</v>
      </c>
      <c r="G334" s="4">
        <v>82990</v>
      </c>
      <c r="H334" s="4">
        <v>67166</v>
      </c>
      <c r="I334" s="4">
        <v>13000</v>
      </c>
      <c r="J334" s="4">
        <v>10521</v>
      </c>
      <c r="K334" s="3" t="s">
        <v>680</v>
      </c>
      <c r="L334" s="3" t="s">
        <v>689</v>
      </c>
      <c r="M334" s="4" t="s">
        <v>0</v>
      </c>
      <c r="N334" s="3" t="s">
        <v>0</v>
      </c>
    </row>
    <row r="335" spans="1:14" x14ac:dyDescent="0.3">
      <c r="A335" s="1" t="s">
        <v>568</v>
      </c>
      <c r="B335" s="1" t="s">
        <v>87</v>
      </c>
      <c r="C335" s="2" t="s">
        <v>11</v>
      </c>
      <c r="D335" s="3" t="s">
        <v>695</v>
      </c>
      <c r="E335" s="4">
        <v>95990</v>
      </c>
      <c r="F335" s="4">
        <v>77687</v>
      </c>
      <c r="G335" s="4">
        <v>82990</v>
      </c>
      <c r="H335" s="4">
        <v>67166</v>
      </c>
      <c r="I335" s="4">
        <v>13000</v>
      </c>
      <c r="J335" s="4">
        <v>10521</v>
      </c>
      <c r="K335" s="3" t="s">
        <v>680</v>
      </c>
      <c r="L335" s="3" t="s">
        <v>689</v>
      </c>
      <c r="M335" s="4" t="s">
        <v>0</v>
      </c>
      <c r="N335" s="3" t="s">
        <v>0</v>
      </c>
    </row>
    <row r="336" spans="1:14" x14ac:dyDescent="0.3">
      <c r="A336" s="1" t="s">
        <v>568</v>
      </c>
      <c r="B336" s="1" t="s">
        <v>88</v>
      </c>
      <c r="C336" s="2" t="s">
        <v>9</v>
      </c>
      <c r="D336" s="3" t="s">
        <v>695</v>
      </c>
      <c r="E336" s="4">
        <v>95990</v>
      </c>
      <c r="F336" s="4">
        <v>77687</v>
      </c>
      <c r="G336" s="4">
        <v>82990</v>
      </c>
      <c r="H336" s="4">
        <v>67166</v>
      </c>
      <c r="I336" s="4">
        <v>13000</v>
      </c>
      <c r="J336" s="4">
        <v>10521</v>
      </c>
      <c r="K336" s="3" t="s">
        <v>680</v>
      </c>
      <c r="L336" s="3" t="s">
        <v>689</v>
      </c>
      <c r="M336" s="4" t="s">
        <v>0</v>
      </c>
      <c r="N336" s="3" t="s">
        <v>0</v>
      </c>
    </row>
    <row r="337" spans="1:14" x14ac:dyDescent="0.3">
      <c r="A337" s="1" t="s">
        <v>568</v>
      </c>
      <c r="B337" s="1" t="s">
        <v>89</v>
      </c>
      <c r="C337" s="2" t="s">
        <v>22</v>
      </c>
      <c r="D337" s="3" t="s">
        <v>695</v>
      </c>
      <c r="E337" s="4">
        <v>95990</v>
      </c>
      <c r="F337" s="4">
        <v>77687</v>
      </c>
      <c r="G337" s="4">
        <v>82990</v>
      </c>
      <c r="H337" s="4">
        <v>67166</v>
      </c>
      <c r="I337" s="4">
        <v>13000</v>
      </c>
      <c r="J337" s="4">
        <v>10521</v>
      </c>
      <c r="K337" s="3" t="s">
        <v>680</v>
      </c>
      <c r="L337" s="3" t="s">
        <v>689</v>
      </c>
      <c r="M337" s="4" t="s">
        <v>0</v>
      </c>
      <c r="N337" s="3" t="s">
        <v>0</v>
      </c>
    </row>
    <row r="338" spans="1:14" x14ac:dyDescent="0.3">
      <c r="A338" s="1" t="s">
        <v>568</v>
      </c>
      <c r="B338" s="1" t="s">
        <v>90</v>
      </c>
      <c r="C338" s="2" t="s">
        <v>2</v>
      </c>
      <c r="D338" s="3" t="s">
        <v>695</v>
      </c>
      <c r="E338" s="4">
        <v>95990</v>
      </c>
      <c r="F338" s="4">
        <v>77687</v>
      </c>
      <c r="G338" s="4">
        <v>82990</v>
      </c>
      <c r="H338" s="4">
        <v>67166</v>
      </c>
      <c r="I338" s="4">
        <v>13000</v>
      </c>
      <c r="J338" s="4">
        <v>10521</v>
      </c>
      <c r="K338" s="3" t="s">
        <v>680</v>
      </c>
      <c r="L338" s="3" t="s">
        <v>689</v>
      </c>
      <c r="M338" s="4" t="s">
        <v>0</v>
      </c>
      <c r="N338" s="3" t="s">
        <v>0</v>
      </c>
    </row>
    <row r="339" spans="1:14" x14ac:dyDescent="0.3">
      <c r="A339" s="1" t="s">
        <v>568</v>
      </c>
      <c r="B339" s="1" t="s">
        <v>91</v>
      </c>
      <c r="C339" s="2" t="s">
        <v>666</v>
      </c>
      <c r="D339" s="3" t="s">
        <v>695</v>
      </c>
      <c r="E339" s="4">
        <v>95990</v>
      </c>
      <c r="F339" s="4">
        <v>77687</v>
      </c>
      <c r="G339" s="4">
        <v>82990</v>
      </c>
      <c r="H339" s="4">
        <v>67166</v>
      </c>
      <c r="I339" s="4">
        <v>13000</v>
      </c>
      <c r="J339" s="4">
        <v>10521</v>
      </c>
      <c r="K339" s="3" t="s">
        <v>680</v>
      </c>
      <c r="L339" s="3" t="s">
        <v>689</v>
      </c>
      <c r="M339" s="4" t="s">
        <v>0</v>
      </c>
      <c r="N339" s="3" t="s">
        <v>0</v>
      </c>
    </row>
    <row r="340" spans="1:14" x14ac:dyDescent="0.3">
      <c r="A340" s="1" t="s">
        <v>604</v>
      </c>
      <c r="B340" s="1" t="s">
        <v>233</v>
      </c>
      <c r="C340" s="2" t="s">
        <v>666</v>
      </c>
      <c r="D340" s="3" t="s">
        <v>714</v>
      </c>
      <c r="E340" s="4">
        <v>87990</v>
      </c>
      <c r="F340" s="4">
        <v>71212</v>
      </c>
      <c r="G340" s="4">
        <v>84990</v>
      </c>
      <c r="H340" s="4">
        <v>68784</v>
      </c>
      <c r="I340" s="4">
        <v>3000</v>
      </c>
      <c r="J340" s="4">
        <v>2428</v>
      </c>
      <c r="K340" s="3" t="s">
        <v>680</v>
      </c>
      <c r="L340" s="3" t="s">
        <v>681</v>
      </c>
      <c r="M340" s="4" t="s">
        <v>0</v>
      </c>
      <c r="N340" s="3" t="s">
        <v>0</v>
      </c>
    </row>
    <row r="341" spans="1:14" x14ac:dyDescent="0.3">
      <c r="A341" s="1" t="s">
        <v>603</v>
      </c>
      <c r="B341" s="1" t="s">
        <v>232</v>
      </c>
      <c r="C341" s="2" t="s">
        <v>2</v>
      </c>
      <c r="D341" s="3" t="s">
        <v>713</v>
      </c>
      <c r="E341" s="4">
        <v>87990</v>
      </c>
      <c r="F341" s="4">
        <v>71212</v>
      </c>
      <c r="G341" s="4">
        <v>84990</v>
      </c>
      <c r="H341" s="4">
        <v>68784</v>
      </c>
      <c r="I341" s="4">
        <v>3000</v>
      </c>
      <c r="J341" s="4">
        <v>2428</v>
      </c>
      <c r="K341" s="3" t="s">
        <v>680</v>
      </c>
      <c r="L341" s="3" t="s">
        <v>681</v>
      </c>
      <c r="M341" s="4" t="s">
        <v>0</v>
      </c>
      <c r="N341" s="3" t="s">
        <v>0</v>
      </c>
    </row>
    <row r="342" spans="1:14" x14ac:dyDescent="0.3">
      <c r="A342" s="1" t="s">
        <v>642</v>
      </c>
      <c r="B342" s="1" t="s">
        <v>388</v>
      </c>
      <c r="C342" s="2" t="s">
        <v>666</v>
      </c>
      <c r="D342" s="3" t="s">
        <v>755</v>
      </c>
      <c r="E342" s="4">
        <v>95990</v>
      </c>
      <c r="F342" s="4">
        <v>77687</v>
      </c>
      <c r="G342" s="4">
        <v>84990</v>
      </c>
      <c r="H342" s="4">
        <v>68784</v>
      </c>
      <c r="I342" s="4">
        <v>11000</v>
      </c>
      <c r="J342" s="4">
        <v>8903</v>
      </c>
      <c r="K342" s="3" t="s">
        <v>680</v>
      </c>
      <c r="L342" s="3" t="s">
        <v>705</v>
      </c>
      <c r="M342" s="4">
        <v>1000</v>
      </c>
      <c r="N342" s="3" t="s">
        <v>942</v>
      </c>
    </row>
    <row r="343" spans="1:14" x14ac:dyDescent="0.3">
      <c r="A343" s="1" t="s">
        <v>642</v>
      </c>
      <c r="B343" s="1" t="s">
        <v>389</v>
      </c>
      <c r="C343" s="2" t="s">
        <v>22</v>
      </c>
      <c r="D343" s="3" t="s">
        <v>755</v>
      </c>
      <c r="E343" s="4">
        <v>95990</v>
      </c>
      <c r="F343" s="4">
        <v>77687</v>
      </c>
      <c r="G343" s="4">
        <v>84990</v>
      </c>
      <c r="H343" s="4">
        <v>68784</v>
      </c>
      <c r="I343" s="4">
        <v>11000</v>
      </c>
      <c r="J343" s="4">
        <v>8903</v>
      </c>
      <c r="K343" s="3" t="s">
        <v>680</v>
      </c>
      <c r="L343" s="3" t="s">
        <v>705</v>
      </c>
      <c r="M343" s="4">
        <v>1000</v>
      </c>
      <c r="N343" s="3" t="s">
        <v>942</v>
      </c>
    </row>
    <row r="344" spans="1:14" x14ac:dyDescent="0.3">
      <c r="A344" s="1" t="s">
        <v>642</v>
      </c>
      <c r="B344" s="1" t="s">
        <v>390</v>
      </c>
      <c r="C344" s="2" t="s">
        <v>16</v>
      </c>
      <c r="D344" s="3" t="s">
        <v>755</v>
      </c>
      <c r="E344" s="4">
        <v>95990</v>
      </c>
      <c r="F344" s="4">
        <v>77687</v>
      </c>
      <c r="G344" s="4">
        <v>84990</v>
      </c>
      <c r="H344" s="4">
        <v>68784</v>
      </c>
      <c r="I344" s="4">
        <v>11000</v>
      </c>
      <c r="J344" s="4">
        <v>8903</v>
      </c>
      <c r="K344" s="3" t="s">
        <v>680</v>
      </c>
      <c r="L344" s="3" t="s">
        <v>705</v>
      </c>
      <c r="M344" s="4" t="s">
        <v>0</v>
      </c>
      <c r="N344" s="3" t="s">
        <v>0</v>
      </c>
    </row>
    <row r="345" spans="1:14" x14ac:dyDescent="0.3">
      <c r="A345" s="1" t="s">
        <v>642</v>
      </c>
      <c r="B345" s="1" t="s">
        <v>391</v>
      </c>
      <c r="C345" s="2" t="s">
        <v>11</v>
      </c>
      <c r="D345" s="3" t="s">
        <v>755</v>
      </c>
      <c r="E345" s="4">
        <v>95990</v>
      </c>
      <c r="F345" s="4">
        <v>77687</v>
      </c>
      <c r="G345" s="4">
        <v>84990</v>
      </c>
      <c r="H345" s="4">
        <v>68784</v>
      </c>
      <c r="I345" s="4">
        <v>11000</v>
      </c>
      <c r="J345" s="4">
        <v>8903</v>
      </c>
      <c r="K345" s="3" t="s">
        <v>680</v>
      </c>
      <c r="L345" s="3" t="s">
        <v>705</v>
      </c>
      <c r="M345" s="4" t="s">
        <v>0</v>
      </c>
      <c r="N345" s="3" t="s">
        <v>0</v>
      </c>
    </row>
    <row r="346" spans="1:14" x14ac:dyDescent="0.3">
      <c r="A346" s="1" t="s">
        <v>642</v>
      </c>
      <c r="B346" s="1" t="s">
        <v>392</v>
      </c>
      <c r="C346" s="2" t="s">
        <v>4</v>
      </c>
      <c r="D346" s="3" t="s">
        <v>755</v>
      </c>
      <c r="E346" s="4">
        <v>95990</v>
      </c>
      <c r="F346" s="4">
        <v>77687</v>
      </c>
      <c r="G346" s="4">
        <v>84990</v>
      </c>
      <c r="H346" s="4">
        <v>68784</v>
      </c>
      <c r="I346" s="4">
        <v>11000</v>
      </c>
      <c r="J346" s="4">
        <v>8903</v>
      </c>
      <c r="K346" s="3" t="s">
        <v>680</v>
      </c>
      <c r="L346" s="3" t="s">
        <v>705</v>
      </c>
      <c r="M346" s="4" t="s">
        <v>0</v>
      </c>
      <c r="N346" s="3" t="s">
        <v>0</v>
      </c>
    </row>
    <row r="347" spans="1:14" x14ac:dyDescent="0.3">
      <c r="A347" s="1" t="s">
        <v>642</v>
      </c>
      <c r="B347" s="1" t="s">
        <v>393</v>
      </c>
      <c r="C347" s="2" t="s">
        <v>18</v>
      </c>
      <c r="D347" s="3" t="s">
        <v>755</v>
      </c>
      <c r="E347" s="4">
        <v>95990</v>
      </c>
      <c r="F347" s="4">
        <v>77687</v>
      </c>
      <c r="G347" s="4">
        <v>84990</v>
      </c>
      <c r="H347" s="4">
        <v>68784</v>
      </c>
      <c r="I347" s="4">
        <v>11000</v>
      </c>
      <c r="J347" s="4">
        <v>8903</v>
      </c>
      <c r="K347" s="3" t="s">
        <v>680</v>
      </c>
      <c r="L347" s="3" t="s">
        <v>705</v>
      </c>
      <c r="M347" s="4" t="s">
        <v>0</v>
      </c>
      <c r="N347" s="3" t="s">
        <v>0</v>
      </c>
    </row>
    <row r="348" spans="1:14" x14ac:dyDescent="0.3">
      <c r="A348" s="1" t="s">
        <v>642</v>
      </c>
      <c r="B348" s="1" t="s">
        <v>394</v>
      </c>
      <c r="C348" s="2" t="s">
        <v>18</v>
      </c>
      <c r="D348" s="3" t="s">
        <v>755</v>
      </c>
      <c r="E348" s="4">
        <v>95990</v>
      </c>
      <c r="F348" s="4">
        <v>77687</v>
      </c>
      <c r="G348" s="4">
        <v>84990</v>
      </c>
      <c r="H348" s="4">
        <v>68784</v>
      </c>
      <c r="I348" s="4">
        <v>11000</v>
      </c>
      <c r="J348" s="4">
        <v>8903</v>
      </c>
      <c r="K348" s="3" t="s">
        <v>680</v>
      </c>
      <c r="L348" s="3" t="s">
        <v>705</v>
      </c>
      <c r="M348" s="4" t="s">
        <v>0</v>
      </c>
      <c r="N348" s="3" t="s">
        <v>0</v>
      </c>
    </row>
    <row r="349" spans="1:14" x14ac:dyDescent="0.3">
      <c r="A349" s="1" t="s">
        <v>642</v>
      </c>
      <c r="B349" s="1" t="s">
        <v>395</v>
      </c>
      <c r="C349" s="2" t="s">
        <v>2</v>
      </c>
      <c r="D349" s="3" t="s">
        <v>755</v>
      </c>
      <c r="E349" s="4">
        <v>95990</v>
      </c>
      <c r="F349" s="4">
        <v>77687</v>
      </c>
      <c r="G349" s="4">
        <v>84990</v>
      </c>
      <c r="H349" s="4">
        <v>68784</v>
      </c>
      <c r="I349" s="4">
        <v>11000</v>
      </c>
      <c r="J349" s="4">
        <v>8903</v>
      </c>
      <c r="K349" s="3" t="s">
        <v>680</v>
      </c>
      <c r="L349" s="3" t="s">
        <v>705</v>
      </c>
      <c r="M349" s="4" t="s">
        <v>0</v>
      </c>
      <c r="N349" s="3" t="s">
        <v>0</v>
      </c>
    </row>
    <row r="350" spans="1:14" x14ac:dyDescent="0.3">
      <c r="A350" s="1" t="s">
        <v>642</v>
      </c>
      <c r="B350" s="1" t="s">
        <v>396</v>
      </c>
      <c r="C350" s="2" t="s">
        <v>13</v>
      </c>
      <c r="D350" s="3" t="s">
        <v>755</v>
      </c>
      <c r="E350" s="4">
        <v>95990</v>
      </c>
      <c r="F350" s="4">
        <v>77687</v>
      </c>
      <c r="G350" s="4">
        <v>84990</v>
      </c>
      <c r="H350" s="4">
        <v>68784</v>
      </c>
      <c r="I350" s="4">
        <v>11000</v>
      </c>
      <c r="J350" s="4">
        <v>8903</v>
      </c>
      <c r="K350" s="3" t="s">
        <v>680</v>
      </c>
      <c r="L350" s="3" t="s">
        <v>705</v>
      </c>
      <c r="M350" s="4" t="s">
        <v>0</v>
      </c>
      <c r="N350" s="3" t="s">
        <v>0</v>
      </c>
    </row>
    <row r="351" spans="1:14" x14ac:dyDescent="0.3">
      <c r="A351" s="1" t="s">
        <v>642</v>
      </c>
      <c r="B351" s="1" t="s">
        <v>397</v>
      </c>
      <c r="C351" s="2" t="s">
        <v>2</v>
      </c>
      <c r="D351" s="3" t="s">
        <v>755</v>
      </c>
      <c r="E351" s="4">
        <v>95990</v>
      </c>
      <c r="F351" s="4">
        <v>77687</v>
      </c>
      <c r="G351" s="4">
        <v>84990</v>
      </c>
      <c r="H351" s="4">
        <v>68784</v>
      </c>
      <c r="I351" s="4">
        <v>11000</v>
      </c>
      <c r="J351" s="4">
        <v>8903</v>
      </c>
      <c r="K351" s="3" t="s">
        <v>680</v>
      </c>
      <c r="L351" s="3" t="s">
        <v>705</v>
      </c>
      <c r="M351" s="4" t="s">
        <v>0</v>
      </c>
      <c r="N351" s="3" t="s">
        <v>0</v>
      </c>
    </row>
    <row r="352" spans="1:14" x14ac:dyDescent="0.3">
      <c r="A352" s="1" t="s">
        <v>642</v>
      </c>
      <c r="B352" s="1" t="s">
        <v>398</v>
      </c>
      <c r="C352" s="2" t="s">
        <v>666</v>
      </c>
      <c r="D352" s="3" t="s">
        <v>755</v>
      </c>
      <c r="E352" s="4">
        <v>95990</v>
      </c>
      <c r="F352" s="4">
        <v>77687</v>
      </c>
      <c r="G352" s="4">
        <v>84990</v>
      </c>
      <c r="H352" s="4">
        <v>68784</v>
      </c>
      <c r="I352" s="4">
        <v>11000</v>
      </c>
      <c r="J352" s="4">
        <v>8903</v>
      </c>
      <c r="K352" s="3" t="s">
        <v>680</v>
      </c>
      <c r="L352" s="3" t="s">
        <v>705</v>
      </c>
      <c r="M352" s="4" t="s">
        <v>0</v>
      </c>
      <c r="N352" s="3" t="s">
        <v>0</v>
      </c>
    </row>
    <row r="353" spans="1:14" x14ac:dyDescent="0.3">
      <c r="A353" s="8" t="s">
        <v>928</v>
      </c>
      <c r="B353" s="8" t="s">
        <v>875</v>
      </c>
      <c r="C353" s="8" t="s">
        <v>815</v>
      </c>
      <c r="D353" s="3" t="s">
        <v>737</v>
      </c>
      <c r="G353" s="4">
        <v>85000</v>
      </c>
      <c r="H353" s="4">
        <v>61313</v>
      </c>
      <c r="J353" s="4">
        <v>7364</v>
      </c>
      <c r="K353" s="3" t="str">
        <f>IFERROR(VLOOKUP(A353,[1]Sheet5!$C:$O,12,0),"00")</f>
        <v>01 - 29 MARCH</v>
      </c>
      <c r="L353" s="3" t="str">
        <f>IFERROR(VLOOKUP(A353,[1]Sheet5!$C:$O,13,0),"00")</f>
        <v>(NB20260315)_Mar_Sellout Support_RF _Asus_Select</v>
      </c>
    </row>
    <row r="354" spans="1:14" x14ac:dyDescent="0.3">
      <c r="A354" s="1" t="s">
        <v>629</v>
      </c>
      <c r="B354" s="1" t="s">
        <v>338</v>
      </c>
      <c r="C354" s="2" t="s">
        <v>2</v>
      </c>
      <c r="D354" s="3" t="s">
        <v>743</v>
      </c>
      <c r="E354" s="4">
        <v>94990</v>
      </c>
      <c r="F354" s="4">
        <v>76878</v>
      </c>
      <c r="G354" s="4">
        <v>85490</v>
      </c>
      <c r="H354" s="4">
        <v>69189</v>
      </c>
      <c r="I354" s="4">
        <v>9500</v>
      </c>
      <c r="J354" s="4">
        <v>7689</v>
      </c>
      <c r="K354" s="3" t="s">
        <v>677</v>
      </c>
      <c r="L354" s="3" t="s">
        <v>702</v>
      </c>
      <c r="M354" s="4" t="s">
        <v>0</v>
      </c>
      <c r="N354" s="3" t="s">
        <v>0</v>
      </c>
    </row>
    <row r="355" spans="1:14" x14ac:dyDescent="0.3">
      <c r="A355" s="1" t="s">
        <v>626</v>
      </c>
      <c r="B355" s="1" t="s">
        <v>321</v>
      </c>
      <c r="C355" s="2" t="s">
        <v>2</v>
      </c>
      <c r="D355" s="3" t="s">
        <v>740</v>
      </c>
      <c r="E355" s="4">
        <v>94990</v>
      </c>
      <c r="F355" s="4">
        <v>76878</v>
      </c>
      <c r="G355" s="4">
        <v>85490</v>
      </c>
      <c r="H355" s="4">
        <v>69189</v>
      </c>
      <c r="I355" s="4">
        <v>9500</v>
      </c>
      <c r="J355" s="4">
        <v>7689</v>
      </c>
      <c r="K355" s="3" t="s">
        <v>677</v>
      </c>
      <c r="L355" s="3" t="s">
        <v>702</v>
      </c>
      <c r="M355" s="4" t="s">
        <v>0</v>
      </c>
      <c r="N355" s="3" t="s">
        <v>0</v>
      </c>
    </row>
    <row r="356" spans="1:14" x14ac:dyDescent="0.3">
      <c r="A356" s="8" t="s">
        <v>929</v>
      </c>
      <c r="B356" s="8" t="s">
        <v>876</v>
      </c>
      <c r="C356" s="8" t="s">
        <v>815</v>
      </c>
      <c r="D356" s="3" t="s">
        <v>967</v>
      </c>
      <c r="G356" s="4">
        <v>86000</v>
      </c>
      <c r="H356" s="4">
        <v>63579</v>
      </c>
      <c r="J356" s="4">
        <v>17562</v>
      </c>
      <c r="K356" s="3" t="str">
        <f>IFERROR(VLOOKUP(A356,[1]Sheet5!$C:$O,12,0),"00")</f>
        <v>01 - 29 MARCH</v>
      </c>
      <c r="L356" s="3" t="str">
        <f>IFERROR(VLOOKUP(A356,[1]Sheet5!$C:$O,13,0),"00")</f>
        <v>(NB20260315)_Mar_Sellout Support_RF _Asus_Select</v>
      </c>
    </row>
    <row r="357" spans="1:14" x14ac:dyDescent="0.3">
      <c r="A357" s="1" t="s">
        <v>627</v>
      </c>
      <c r="B357" s="1" t="s">
        <v>322</v>
      </c>
      <c r="C357" s="2" t="s">
        <v>2</v>
      </c>
      <c r="D357" s="3" t="s">
        <v>741</v>
      </c>
      <c r="E357" s="4">
        <v>95990</v>
      </c>
      <c r="F357" s="4">
        <v>77687</v>
      </c>
      <c r="G357" s="4">
        <v>86990</v>
      </c>
      <c r="H357" s="4">
        <v>70403</v>
      </c>
      <c r="I357" s="4">
        <v>9000</v>
      </c>
      <c r="J357" s="4">
        <v>7284</v>
      </c>
      <c r="K357" s="3" t="s">
        <v>680</v>
      </c>
      <c r="L357" s="3" t="s">
        <v>681</v>
      </c>
      <c r="M357" s="4" t="s">
        <v>0</v>
      </c>
      <c r="N357" s="3" t="s">
        <v>0</v>
      </c>
    </row>
    <row r="358" spans="1:14" x14ac:dyDescent="0.3">
      <c r="A358" s="1" t="s">
        <v>627</v>
      </c>
      <c r="B358" s="1" t="s">
        <v>323</v>
      </c>
      <c r="C358" s="2" t="s">
        <v>2</v>
      </c>
      <c r="D358" s="3" t="s">
        <v>741</v>
      </c>
      <c r="E358" s="4">
        <v>95990</v>
      </c>
      <c r="F358" s="4">
        <v>77687</v>
      </c>
      <c r="G358" s="4">
        <v>86990</v>
      </c>
      <c r="H358" s="4">
        <v>70403</v>
      </c>
      <c r="I358" s="4">
        <v>9000</v>
      </c>
      <c r="J358" s="4">
        <v>7284</v>
      </c>
      <c r="K358" s="3" t="s">
        <v>680</v>
      </c>
      <c r="L358" s="3" t="s">
        <v>681</v>
      </c>
      <c r="M358" s="4" t="s">
        <v>0</v>
      </c>
      <c r="N358" s="3" t="s">
        <v>0</v>
      </c>
    </row>
    <row r="359" spans="1:14" x14ac:dyDescent="0.3">
      <c r="A359" s="1" t="s">
        <v>627</v>
      </c>
      <c r="B359" s="1" t="s">
        <v>324</v>
      </c>
      <c r="C359" s="2" t="s">
        <v>2</v>
      </c>
      <c r="D359" s="3" t="s">
        <v>741</v>
      </c>
      <c r="E359" s="4">
        <v>95990</v>
      </c>
      <c r="F359" s="4">
        <v>77687</v>
      </c>
      <c r="G359" s="4">
        <v>86990</v>
      </c>
      <c r="H359" s="4">
        <v>70403</v>
      </c>
      <c r="I359" s="4">
        <v>9000</v>
      </c>
      <c r="J359" s="4">
        <v>7284</v>
      </c>
      <c r="K359" s="3" t="s">
        <v>680</v>
      </c>
      <c r="L359" s="3" t="s">
        <v>681</v>
      </c>
      <c r="M359" s="4" t="s">
        <v>0</v>
      </c>
      <c r="N359" s="3" t="s">
        <v>0</v>
      </c>
    </row>
    <row r="360" spans="1:14" x14ac:dyDescent="0.3">
      <c r="A360" s="1" t="s">
        <v>627</v>
      </c>
      <c r="B360" s="1" t="s">
        <v>325</v>
      </c>
      <c r="C360" s="2" t="s">
        <v>2</v>
      </c>
      <c r="D360" s="3" t="s">
        <v>741</v>
      </c>
      <c r="E360" s="4">
        <v>95990</v>
      </c>
      <c r="F360" s="4">
        <v>77687</v>
      </c>
      <c r="G360" s="4">
        <v>86990</v>
      </c>
      <c r="H360" s="4">
        <v>70403</v>
      </c>
      <c r="I360" s="4">
        <v>9000</v>
      </c>
      <c r="J360" s="4">
        <v>7284</v>
      </c>
      <c r="K360" s="3" t="s">
        <v>680</v>
      </c>
      <c r="L360" s="3" t="s">
        <v>681</v>
      </c>
      <c r="M360" s="4" t="s">
        <v>0</v>
      </c>
      <c r="N360" s="3" t="s">
        <v>0</v>
      </c>
    </row>
    <row r="361" spans="1:14" x14ac:dyDescent="0.3">
      <c r="A361" s="1" t="s">
        <v>627</v>
      </c>
      <c r="B361" s="1" t="s">
        <v>326</v>
      </c>
      <c r="C361" s="2" t="s">
        <v>16</v>
      </c>
      <c r="D361" s="3" t="s">
        <v>741</v>
      </c>
      <c r="E361" s="4">
        <v>95990</v>
      </c>
      <c r="F361" s="4">
        <v>77687</v>
      </c>
      <c r="G361" s="4">
        <v>86990</v>
      </c>
      <c r="H361" s="4">
        <v>70403</v>
      </c>
      <c r="I361" s="4">
        <v>9000</v>
      </c>
      <c r="J361" s="4">
        <v>7284</v>
      </c>
      <c r="K361" s="3" t="s">
        <v>680</v>
      </c>
      <c r="L361" s="3" t="s">
        <v>681</v>
      </c>
      <c r="M361" s="4" t="s">
        <v>0</v>
      </c>
      <c r="N361" s="3" t="s">
        <v>0</v>
      </c>
    </row>
    <row r="362" spans="1:14" x14ac:dyDescent="0.3">
      <c r="A362" s="1" t="s">
        <v>627</v>
      </c>
      <c r="B362" s="1" t="s">
        <v>327</v>
      </c>
      <c r="C362" s="2" t="s">
        <v>2</v>
      </c>
      <c r="D362" s="3" t="s">
        <v>741</v>
      </c>
      <c r="E362" s="4">
        <v>95990</v>
      </c>
      <c r="F362" s="4">
        <v>77687</v>
      </c>
      <c r="G362" s="4">
        <v>86990</v>
      </c>
      <c r="H362" s="4">
        <v>70403</v>
      </c>
      <c r="I362" s="4">
        <v>9000</v>
      </c>
      <c r="J362" s="4">
        <v>7284</v>
      </c>
      <c r="K362" s="3" t="s">
        <v>680</v>
      </c>
      <c r="L362" s="3" t="s">
        <v>681</v>
      </c>
      <c r="M362" s="4" t="s">
        <v>0</v>
      </c>
      <c r="N362" s="3" t="s">
        <v>0</v>
      </c>
    </row>
    <row r="363" spans="1:14" x14ac:dyDescent="0.3">
      <c r="A363" s="1" t="s">
        <v>627</v>
      </c>
      <c r="B363" s="1" t="s">
        <v>328</v>
      </c>
      <c r="C363" s="2" t="s">
        <v>22</v>
      </c>
      <c r="D363" s="3" t="s">
        <v>741</v>
      </c>
      <c r="E363" s="4">
        <v>95990</v>
      </c>
      <c r="F363" s="4">
        <v>77687</v>
      </c>
      <c r="G363" s="4">
        <v>86990</v>
      </c>
      <c r="H363" s="4">
        <v>70403</v>
      </c>
      <c r="I363" s="4">
        <v>9000</v>
      </c>
      <c r="J363" s="4">
        <v>7284</v>
      </c>
      <c r="K363" s="3" t="s">
        <v>680</v>
      </c>
      <c r="L363" s="3" t="s">
        <v>681</v>
      </c>
      <c r="M363" s="4" t="s">
        <v>0</v>
      </c>
      <c r="N363" s="3" t="s">
        <v>0</v>
      </c>
    </row>
    <row r="364" spans="1:14" x14ac:dyDescent="0.3">
      <c r="A364" s="1" t="s">
        <v>627</v>
      </c>
      <c r="B364" s="1" t="s">
        <v>329</v>
      </c>
      <c r="C364" s="2" t="s">
        <v>9</v>
      </c>
      <c r="D364" s="3" t="s">
        <v>741</v>
      </c>
      <c r="E364" s="4">
        <v>95990</v>
      </c>
      <c r="F364" s="4">
        <v>77687</v>
      </c>
      <c r="G364" s="4">
        <v>86990</v>
      </c>
      <c r="H364" s="4">
        <v>70403</v>
      </c>
      <c r="I364" s="4">
        <v>9000</v>
      </c>
      <c r="J364" s="4">
        <v>7284</v>
      </c>
      <c r="K364" s="3" t="s">
        <v>680</v>
      </c>
      <c r="L364" s="3" t="s">
        <v>681</v>
      </c>
      <c r="M364" s="4" t="s">
        <v>0</v>
      </c>
      <c r="N364" s="3" t="s">
        <v>0</v>
      </c>
    </row>
    <row r="365" spans="1:14" x14ac:dyDescent="0.3">
      <c r="A365" s="1" t="s">
        <v>627</v>
      </c>
      <c r="B365" s="1" t="s">
        <v>330</v>
      </c>
      <c r="C365" s="2" t="s">
        <v>6</v>
      </c>
      <c r="D365" s="3" t="s">
        <v>741</v>
      </c>
      <c r="E365" s="4">
        <v>95990</v>
      </c>
      <c r="F365" s="4">
        <v>77687</v>
      </c>
      <c r="G365" s="4">
        <v>86990</v>
      </c>
      <c r="H365" s="4">
        <v>70403</v>
      </c>
      <c r="I365" s="4">
        <v>9000</v>
      </c>
      <c r="J365" s="4">
        <v>7284</v>
      </c>
      <c r="K365" s="3" t="s">
        <v>680</v>
      </c>
      <c r="L365" s="3" t="s">
        <v>681</v>
      </c>
      <c r="M365" s="4" t="s">
        <v>0</v>
      </c>
      <c r="N365" s="3" t="s">
        <v>0</v>
      </c>
    </row>
    <row r="366" spans="1:14" x14ac:dyDescent="0.3">
      <c r="A366" s="1" t="s">
        <v>627</v>
      </c>
      <c r="B366" s="1" t="s">
        <v>331</v>
      </c>
      <c r="C366" s="2" t="s">
        <v>54</v>
      </c>
      <c r="D366" s="3" t="s">
        <v>741</v>
      </c>
      <c r="E366" s="4">
        <v>95990</v>
      </c>
      <c r="F366" s="4">
        <v>77687</v>
      </c>
      <c r="G366" s="4">
        <v>86990</v>
      </c>
      <c r="H366" s="4">
        <v>70403</v>
      </c>
      <c r="I366" s="4">
        <v>9000</v>
      </c>
      <c r="J366" s="4">
        <v>7284</v>
      </c>
      <c r="K366" s="3" t="s">
        <v>680</v>
      </c>
      <c r="L366" s="3" t="s">
        <v>681</v>
      </c>
      <c r="M366" s="4" t="s">
        <v>0</v>
      </c>
      <c r="N366" s="3" t="s">
        <v>0</v>
      </c>
    </row>
    <row r="367" spans="1:14" x14ac:dyDescent="0.3">
      <c r="A367" s="1" t="s">
        <v>627</v>
      </c>
      <c r="B367" s="1" t="s">
        <v>332</v>
      </c>
      <c r="C367" s="2" t="s">
        <v>13</v>
      </c>
      <c r="D367" s="3" t="s">
        <v>741</v>
      </c>
      <c r="E367" s="4">
        <v>95990</v>
      </c>
      <c r="F367" s="4">
        <v>77687</v>
      </c>
      <c r="G367" s="4">
        <v>86990</v>
      </c>
      <c r="H367" s="4">
        <v>70403</v>
      </c>
      <c r="I367" s="4">
        <v>9000</v>
      </c>
      <c r="J367" s="4">
        <v>7284</v>
      </c>
      <c r="K367" s="3" t="s">
        <v>680</v>
      </c>
      <c r="L367" s="3" t="s">
        <v>681</v>
      </c>
      <c r="M367" s="4" t="s">
        <v>0</v>
      </c>
      <c r="N367" s="3" t="s">
        <v>0</v>
      </c>
    </row>
    <row r="368" spans="1:14" x14ac:dyDescent="0.3">
      <c r="A368" s="1" t="s">
        <v>627</v>
      </c>
      <c r="B368" s="1" t="s">
        <v>333</v>
      </c>
      <c r="C368" s="2" t="s">
        <v>51</v>
      </c>
      <c r="D368" s="3" t="s">
        <v>741</v>
      </c>
      <c r="E368" s="4">
        <v>95990</v>
      </c>
      <c r="F368" s="4">
        <v>77687</v>
      </c>
      <c r="G368" s="4">
        <v>86990</v>
      </c>
      <c r="H368" s="4">
        <v>70403</v>
      </c>
      <c r="I368" s="4">
        <v>9000</v>
      </c>
      <c r="J368" s="4">
        <v>7284</v>
      </c>
      <c r="K368" s="3" t="s">
        <v>680</v>
      </c>
      <c r="L368" s="3" t="s">
        <v>681</v>
      </c>
      <c r="M368" s="4" t="s">
        <v>0</v>
      </c>
      <c r="N368" s="3" t="s">
        <v>0</v>
      </c>
    </row>
    <row r="369" spans="1:14" x14ac:dyDescent="0.3">
      <c r="A369" s="1" t="s">
        <v>627</v>
      </c>
      <c r="B369" s="1" t="s">
        <v>334</v>
      </c>
      <c r="C369" s="2" t="s">
        <v>13</v>
      </c>
      <c r="D369" s="3" t="s">
        <v>741</v>
      </c>
      <c r="E369" s="4">
        <v>95990</v>
      </c>
      <c r="F369" s="4">
        <v>77687</v>
      </c>
      <c r="G369" s="4">
        <v>86990</v>
      </c>
      <c r="H369" s="4">
        <v>70403</v>
      </c>
      <c r="I369" s="4">
        <v>9000</v>
      </c>
      <c r="J369" s="4">
        <v>7284</v>
      </c>
      <c r="K369" s="3" t="s">
        <v>680</v>
      </c>
      <c r="L369" s="3" t="s">
        <v>681</v>
      </c>
      <c r="M369" s="4">
        <v>2500</v>
      </c>
      <c r="N369" s="3" t="s">
        <v>942</v>
      </c>
    </row>
    <row r="370" spans="1:14" x14ac:dyDescent="0.3">
      <c r="A370" s="1" t="s">
        <v>627</v>
      </c>
      <c r="B370" s="1" t="s">
        <v>335</v>
      </c>
      <c r="C370" s="2" t="s">
        <v>666</v>
      </c>
      <c r="D370" s="3" t="s">
        <v>741</v>
      </c>
      <c r="E370" s="4">
        <v>95990</v>
      </c>
      <c r="F370" s="4">
        <v>77687</v>
      </c>
      <c r="G370" s="4">
        <v>86990</v>
      </c>
      <c r="H370" s="4">
        <v>70403</v>
      </c>
      <c r="I370" s="4">
        <v>9000</v>
      </c>
      <c r="J370" s="4">
        <v>7284</v>
      </c>
      <c r="K370" s="3" t="s">
        <v>680</v>
      </c>
      <c r="L370" s="3" t="s">
        <v>681</v>
      </c>
      <c r="M370" s="4" t="s">
        <v>0</v>
      </c>
      <c r="N370" s="3" t="s">
        <v>0</v>
      </c>
    </row>
    <row r="371" spans="1:14" x14ac:dyDescent="0.3">
      <c r="A371" s="1" t="s">
        <v>627</v>
      </c>
      <c r="B371" s="1" t="s">
        <v>336</v>
      </c>
      <c r="C371" s="2" t="s">
        <v>16</v>
      </c>
      <c r="D371" s="3" t="s">
        <v>741</v>
      </c>
      <c r="E371" s="4">
        <v>95990</v>
      </c>
      <c r="F371" s="4">
        <v>77687</v>
      </c>
      <c r="G371" s="4">
        <v>86990</v>
      </c>
      <c r="H371" s="4">
        <v>70403</v>
      </c>
      <c r="I371" s="4">
        <v>9000</v>
      </c>
      <c r="J371" s="4">
        <v>7284</v>
      </c>
      <c r="K371" s="3" t="s">
        <v>680</v>
      </c>
      <c r="L371" s="3" t="s">
        <v>681</v>
      </c>
      <c r="M371" s="4" t="s">
        <v>0</v>
      </c>
      <c r="N371" s="3" t="s">
        <v>0</v>
      </c>
    </row>
    <row r="372" spans="1:14" x14ac:dyDescent="0.3">
      <c r="A372" s="1" t="s">
        <v>563</v>
      </c>
      <c r="B372" s="1" t="s">
        <v>50</v>
      </c>
      <c r="C372" s="2" t="s">
        <v>51</v>
      </c>
      <c r="D372" s="3" t="s">
        <v>690</v>
      </c>
      <c r="E372" s="4">
        <v>106990</v>
      </c>
      <c r="F372" s="4">
        <v>86589</v>
      </c>
      <c r="G372" s="4">
        <v>86990</v>
      </c>
      <c r="H372" s="4">
        <v>70403</v>
      </c>
      <c r="I372" s="4">
        <v>20000</v>
      </c>
      <c r="J372" s="4">
        <v>16186</v>
      </c>
      <c r="K372" s="3" t="s">
        <v>680</v>
      </c>
      <c r="L372" s="3" t="s">
        <v>689</v>
      </c>
      <c r="M372" s="4" t="s">
        <v>0</v>
      </c>
      <c r="N372" s="3" t="s">
        <v>0</v>
      </c>
    </row>
    <row r="373" spans="1:14" x14ac:dyDescent="0.3">
      <c r="A373" s="1" t="s">
        <v>563</v>
      </c>
      <c r="B373" s="1" t="s">
        <v>52</v>
      </c>
      <c r="C373" s="2" t="s">
        <v>18</v>
      </c>
      <c r="D373" s="3" t="s">
        <v>690</v>
      </c>
      <c r="E373" s="4">
        <v>106990</v>
      </c>
      <c r="F373" s="4">
        <v>86589</v>
      </c>
      <c r="G373" s="4">
        <v>86990</v>
      </c>
      <c r="H373" s="4">
        <v>70403</v>
      </c>
      <c r="I373" s="4">
        <v>20000</v>
      </c>
      <c r="J373" s="4">
        <v>16186</v>
      </c>
      <c r="K373" s="3" t="s">
        <v>680</v>
      </c>
      <c r="L373" s="3" t="s">
        <v>689</v>
      </c>
      <c r="M373" s="4" t="s">
        <v>0</v>
      </c>
      <c r="N373" s="3" t="s">
        <v>0</v>
      </c>
    </row>
    <row r="374" spans="1:14" x14ac:dyDescent="0.3">
      <c r="A374" s="1" t="s">
        <v>563</v>
      </c>
      <c r="B374" s="1" t="s">
        <v>53</v>
      </c>
      <c r="C374" s="2" t="s">
        <v>54</v>
      </c>
      <c r="D374" s="3" t="s">
        <v>690</v>
      </c>
      <c r="E374" s="4">
        <v>106990</v>
      </c>
      <c r="F374" s="4">
        <v>86589</v>
      </c>
      <c r="G374" s="4">
        <v>86990</v>
      </c>
      <c r="H374" s="4">
        <v>70403</v>
      </c>
      <c r="I374" s="4">
        <v>20000</v>
      </c>
      <c r="J374" s="4">
        <v>16186</v>
      </c>
      <c r="K374" s="3" t="s">
        <v>680</v>
      </c>
      <c r="L374" s="3" t="s">
        <v>689</v>
      </c>
      <c r="M374" s="4" t="s">
        <v>0</v>
      </c>
      <c r="N374" s="3" t="s">
        <v>0</v>
      </c>
    </row>
    <row r="375" spans="1:14" x14ac:dyDescent="0.3">
      <c r="A375" s="1" t="s">
        <v>572</v>
      </c>
      <c r="B375" s="1" t="s">
        <v>104</v>
      </c>
      <c r="C375" s="2" t="s">
        <v>4</v>
      </c>
      <c r="D375" s="3" t="s">
        <v>699</v>
      </c>
      <c r="E375" s="4">
        <v>104990</v>
      </c>
      <c r="F375" s="4">
        <v>84971</v>
      </c>
      <c r="G375" s="4">
        <v>86990</v>
      </c>
      <c r="H375" s="4">
        <v>70403</v>
      </c>
      <c r="I375" s="4">
        <v>18000</v>
      </c>
      <c r="J375" s="4">
        <v>14568</v>
      </c>
      <c r="K375" s="3" t="s">
        <v>680</v>
      </c>
      <c r="L375" s="3" t="s">
        <v>689</v>
      </c>
      <c r="M375" s="4" t="s">
        <v>0</v>
      </c>
      <c r="N375" s="3" t="s">
        <v>0</v>
      </c>
    </row>
    <row r="376" spans="1:14" x14ac:dyDescent="0.3">
      <c r="A376" s="1" t="s">
        <v>572</v>
      </c>
      <c r="B376" s="1" t="s">
        <v>105</v>
      </c>
      <c r="C376" s="2" t="s">
        <v>2</v>
      </c>
      <c r="D376" s="3" t="s">
        <v>699</v>
      </c>
      <c r="E376" s="4">
        <v>104990</v>
      </c>
      <c r="F376" s="4">
        <v>84971</v>
      </c>
      <c r="G376" s="4">
        <v>86990</v>
      </c>
      <c r="H376" s="4">
        <v>70403</v>
      </c>
      <c r="I376" s="4">
        <v>18000</v>
      </c>
      <c r="J376" s="4">
        <v>14568</v>
      </c>
      <c r="K376" s="3" t="s">
        <v>680</v>
      </c>
      <c r="L376" s="3" t="s">
        <v>689</v>
      </c>
      <c r="M376" s="4">
        <v>1000</v>
      </c>
      <c r="N376" s="3" t="s">
        <v>942</v>
      </c>
    </row>
    <row r="377" spans="1:14" x14ac:dyDescent="0.3">
      <c r="A377" s="1" t="s">
        <v>572</v>
      </c>
      <c r="B377" s="1" t="s">
        <v>106</v>
      </c>
      <c r="C377" s="2" t="s">
        <v>2</v>
      </c>
      <c r="D377" s="3" t="s">
        <v>699</v>
      </c>
      <c r="E377" s="4">
        <v>104990</v>
      </c>
      <c r="F377" s="4">
        <v>84971</v>
      </c>
      <c r="G377" s="4">
        <v>86990</v>
      </c>
      <c r="H377" s="4">
        <v>70403</v>
      </c>
      <c r="I377" s="4">
        <v>18000</v>
      </c>
      <c r="J377" s="4">
        <v>14568</v>
      </c>
      <c r="K377" s="3" t="s">
        <v>680</v>
      </c>
      <c r="L377" s="3" t="s">
        <v>689</v>
      </c>
      <c r="M377" s="4" t="s">
        <v>0</v>
      </c>
      <c r="N377" s="3" t="s">
        <v>0</v>
      </c>
    </row>
    <row r="378" spans="1:14" x14ac:dyDescent="0.3">
      <c r="A378" s="1" t="s">
        <v>572</v>
      </c>
      <c r="B378" s="1" t="s">
        <v>107</v>
      </c>
      <c r="C378" s="2" t="s">
        <v>2</v>
      </c>
      <c r="D378" s="3" t="s">
        <v>699</v>
      </c>
      <c r="E378" s="4">
        <v>104990</v>
      </c>
      <c r="F378" s="4">
        <v>84971</v>
      </c>
      <c r="G378" s="4">
        <v>86990</v>
      </c>
      <c r="H378" s="4">
        <v>70403</v>
      </c>
      <c r="I378" s="4">
        <v>18000</v>
      </c>
      <c r="J378" s="4">
        <v>14568</v>
      </c>
      <c r="K378" s="3" t="s">
        <v>680</v>
      </c>
      <c r="L378" s="3" t="s">
        <v>689</v>
      </c>
      <c r="M378" s="4" t="s">
        <v>0</v>
      </c>
      <c r="N378" s="3" t="s">
        <v>0</v>
      </c>
    </row>
    <row r="379" spans="1:14" x14ac:dyDescent="0.3">
      <c r="A379" s="1" t="s">
        <v>572</v>
      </c>
      <c r="B379" s="1" t="s">
        <v>108</v>
      </c>
      <c r="C379" s="2" t="s">
        <v>666</v>
      </c>
      <c r="D379" s="3" t="s">
        <v>699</v>
      </c>
      <c r="E379" s="4">
        <v>104990</v>
      </c>
      <c r="F379" s="4">
        <v>84971</v>
      </c>
      <c r="G379" s="4">
        <v>86990</v>
      </c>
      <c r="H379" s="4">
        <v>70403</v>
      </c>
      <c r="I379" s="4">
        <v>18000</v>
      </c>
      <c r="J379" s="4">
        <v>14568</v>
      </c>
      <c r="K379" s="3" t="s">
        <v>680</v>
      </c>
      <c r="L379" s="3" t="s">
        <v>689</v>
      </c>
      <c r="M379" s="4" t="s">
        <v>0</v>
      </c>
      <c r="N379" s="3" t="s">
        <v>0</v>
      </c>
    </row>
    <row r="380" spans="1:14" x14ac:dyDescent="0.3">
      <c r="A380" s="1" t="s">
        <v>572</v>
      </c>
      <c r="B380" s="1" t="s">
        <v>109</v>
      </c>
      <c r="C380" s="2" t="s">
        <v>2</v>
      </c>
      <c r="D380" s="3" t="s">
        <v>699</v>
      </c>
      <c r="E380" s="4">
        <v>104990</v>
      </c>
      <c r="F380" s="4">
        <v>84971</v>
      </c>
      <c r="G380" s="4">
        <v>86990</v>
      </c>
      <c r="H380" s="4">
        <v>70403</v>
      </c>
      <c r="I380" s="4">
        <v>18000</v>
      </c>
      <c r="J380" s="4">
        <v>14568</v>
      </c>
      <c r="K380" s="3" t="s">
        <v>680</v>
      </c>
      <c r="L380" s="3" t="s">
        <v>689</v>
      </c>
      <c r="M380" s="4" t="s">
        <v>0</v>
      </c>
      <c r="N380" s="3" t="s">
        <v>0</v>
      </c>
    </row>
    <row r="381" spans="1:14" x14ac:dyDescent="0.3">
      <c r="A381" s="1" t="s">
        <v>572</v>
      </c>
      <c r="B381" s="1" t="s">
        <v>110</v>
      </c>
      <c r="C381" s="2" t="s">
        <v>31</v>
      </c>
      <c r="D381" s="3" t="s">
        <v>699</v>
      </c>
      <c r="E381" s="4">
        <v>104990</v>
      </c>
      <c r="F381" s="4">
        <v>84971</v>
      </c>
      <c r="G381" s="4">
        <v>86990</v>
      </c>
      <c r="H381" s="4">
        <v>70403</v>
      </c>
      <c r="I381" s="4">
        <v>18000</v>
      </c>
      <c r="J381" s="4">
        <v>14568</v>
      </c>
      <c r="K381" s="3" t="s">
        <v>680</v>
      </c>
      <c r="L381" s="3" t="s">
        <v>689</v>
      </c>
      <c r="M381" s="4" t="s">
        <v>0</v>
      </c>
      <c r="N381" s="3" t="s">
        <v>0</v>
      </c>
    </row>
    <row r="382" spans="1:14" x14ac:dyDescent="0.3">
      <c r="A382" s="1" t="s">
        <v>572</v>
      </c>
      <c r="B382" s="1" t="s">
        <v>111</v>
      </c>
      <c r="C382" s="2" t="s">
        <v>2</v>
      </c>
      <c r="D382" s="3" t="s">
        <v>699</v>
      </c>
      <c r="E382" s="4">
        <v>104990</v>
      </c>
      <c r="F382" s="4">
        <v>84971</v>
      </c>
      <c r="G382" s="4">
        <v>86990</v>
      </c>
      <c r="H382" s="4">
        <v>70403</v>
      </c>
      <c r="I382" s="4">
        <v>18000</v>
      </c>
      <c r="J382" s="4">
        <v>14568</v>
      </c>
      <c r="K382" s="3" t="s">
        <v>680</v>
      </c>
      <c r="L382" s="3" t="s">
        <v>689</v>
      </c>
      <c r="M382" s="4" t="s">
        <v>0</v>
      </c>
      <c r="N382" s="3" t="s">
        <v>0</v>
      </c>
    </row>
    <row r="383" spans="1:14" x14ac:dyDescent="0.3">
      <c r="A383" s="1" t="s">
        <v>572</v>
      </c>
      <c r="B383" s="1" t="s">
        <v>112</v>
      </c>
      <c r="C383" s="2" t="s">
        <v>9</v>
      </c>
      <c r="D383" s="3" t="s">
        <v>699</v>
      </c>
      <c r="E383" s="4">
        <v>104990</v>
      </c>
      <c r="F383" s="4">
        <v>84971</v>
      </c>
      <c r="G383" s="4">
        <v>86990</v>
      </c>
      <c r="H383" s="4">
        <v>70403</v>
      </c>
      <c r="I383" s="4">
        <v>18000</v>
      </c>
      <c r="J383" s="4">
        <v>14568</v>
      </c>
      <c r="K383" s="3" t="s">
        <v>680</v>
      </c>
      <c r="L383" s="3" t="s">
        <v>689</v>
      </c>
      <c r="M383" s="4" t="s">
        <v>0</v>
      </c>
      <c r="N383" s="3" t="s">
        <v>0</v>
      </c>
    </row>
    <row r="384" spans="1:14" x14ac:dyDescent="0.3">
      <c r="A384" s="1" t="s">
        <v>572</v>
      </c>
      <c r="B384" s="1" t="s">
        <v>113</v>
      </c>
      <c r="C384" s="2" t="s">
        <v>2</v>
      </c>
      <c r="D384" s="3" t="s">
        <v>699</v>
      </c>
      <c r="E384" s="4">
        <v>104990</v>
      </c>
      <c r="F384" s="4">
        <v>84971</v>
      </c>
      <c r="G384" s="4">
        <v>86990</v>
      </c>
      <c r="H384" s="4">
        <v>70403</v>
      </c>
      <c r="I384" s="4">
        <v>18000</v>
      </c>
      <c r="J384" s="4">
        <v>14568</v>
      </c>
      <c r="K384" s="3" t="s">
        <v>680</v>
      </c>
      <c r="L384" s="3" t="s">
        <v>689</v>
      </c>
      <c r="M384" s="4" t="s">
        <v>0</v>
      </c>
      <c r="N384" s="3" t="s">
        <v>0</v>
      </c>
    </row>
    <row r="385" spans="1:14" x14ac:dyDescent="0.3">
      <c r="A385" s="1" t="s">
        <v>572</v>
      </c>
      <c r="B385" s="1" t="s">
        <v>114</v>
      </c>
      <c r="C385" s="2" t="s">
        <v>2</v>
      </c>
      <c r="D385" s="3" t="s">
        <v>699</v>
      </c>
      <c r="E385" s="4">
        <v>104990</v>
      </c>
      <c r="F385" s="4">
        <v>84971</v>
      </c>
      <c r="G385" s="4">
        <v>86990</v>
      </c>
      <c r="H385" s="4">
        <v>70403</v>
      </c>
      <c r="I385" s="4">
        <v>18000</v>
      </c>
      <c r="J385" s="4">
        <v>14568</v>
      </c>
      <c r="K385" s="3" t="s">
        <v>680</v>
      </c>
      <c r="L385" s="3" t="s">
        <v>689</v>
      </c>
      <c r="M385" s="4" t="s">
        <v>0</v>
      </c>
      <c r="N385" s="3" t="s">
        <v>0</v>
      </c>
    </row>
    <row r="386" spans="1:14" x14ac:dyDescent="0.3">
      <c r="A386" s="1" t="s">
        <v>591</v>
      </c>
      <c r="B386" s="1" t="s">
        <v>193</v>
      </c>
      <c r="C386" s="2" t="s">
        <v>2</v>
      </c>
      <c r="D386" s="3" t="s">
        <v>789</v>
      </c>
      <c r="E386" s="4" t="s">
        <v>0</v>
      </c>
      <c r="F386" s="4" t="s">
        <v>0</v>
      </c>
      <c r="G386" s="4">
        <v>87990</v>
      </c>
      <c r="H386" s="4">
        <v>71212</v>
      </c>
      <c r="I386" s="4" t="s">
        <v>0</v>
      </c>
      <c r="J386" s="4" t="s">
        <v>0</v>
      </c>
      <c r="K386" s="3" t="s">
        <v>677</v>
      </c>
      <c r="L386" s="3" t="s">
        <v>784</v>
      </c>
      <c r="M386" s="4" t="s">
        <v>0</v>
      </c>
      <c r="N386" s="3" t="s">
        <v>0</v>
      </c>
    </row>
    <row r="387" spans="1:14" x14ac:dyDescent="0.3">
      <c r="A387" s="8" t="s">
        <v>930</v>
      </c>
      <c r="B387" s="8" t="s">
        <v>877</v>
      </c>
      <c r="C387" s="8" t="s">
        <v>815</v>
      </c>
      <c r="D387" s="3" t="s">
        <v>968</v>
      </c>
      <c r="G387" s="4">
        <v>89000</v>
      </c>
      <c r="H387" s="4">
        <v>68677</v>
      </c>
      <c r="J387" s="4">
        <v>2833</v>
      </c>
      <c r="K387" s="3" t="str">
        <f>IFERROR(VLOOKUP(A387,[1]Sheet5!$C:$O,12,0),"00")</f>
        <v>01 - 31 MARCH</v>
      </c>
      <c r="L387" s="3" t="str">
        <f>IFERROR(VLOOKUP(A387,[1]Sheet5!$C:$O,13,0),"00")</f>
        <v>(NB20260365)_Mar_Top Picks_Sellout Support_RF _Select Store_Creator</v>
      </c>
    </row>
    <row r="388" spans="1:14" x14ac:dyDescent="0.3">
      <c r="A388" s="8" t="s">
        <v>931</v>
      </c>
      <c r="B388" s="8" t="s">
        <v>878</v>
      </c>
      <c r="C388" s="8" t="s">
        <v>815</v>
      </c>
      <c r="D388" s="3" t="s">
        <v>969</v>
      </c>
      <c r="G388" s="4">
        <v>89000</v>
      </c>
      <c r="H388" s="4">
        <v>68677</v>
      </c>
      <c r="J388" s="4">
        <v>2833</v>
      </c>
      <c r="K388" s="3" t="str">
        <f>IFERROR(VLOOKUP(A388,[1]Sheet5!$C:$O,12,0),"00")</f>
        <v>01 - 31 MARCH</v>
      </c>
      <c r="L388" s="3" t="str">
        <f>IFERROR(VLOOKUP(A388,[1]Sheet5!$C:$O,13,0),"00")</f>
        <v>(NB20260365)_Mar_Top Picks_Sellout Support_RF _Select Store_Creator</v>
      </c>
    </row>
    <row r="389" spans="1:14" x14ac:dyDescent="0.3">
      <c r="A389" s="1" t="s">
        <v>619</v>
      </c>
      <c r="B389" s="1" t="s">
        <v>306</v>
      </c>
      <c r="C389" s="2" t="s">
        <v>2</v>
      </c>
      <c r="D389" s="3" t="s">
        <v>733</v>
      </c>
      <c r="E389" s="4">
        <v>99990</v>
      </c>
      <c r="F389" s="4">
        <v>80924</v>
      </c>
      <c r="G389" s="4">
        <v>89990</v>
      </c>
      <c r="H389" s="4">
        <v>72831</v>
      </c>
      <c r="I389" s="4">
        <v>10000</v>
      </c>
      <c r="J389" s="4">
        <v>8093</v>
      </c>
      <c r="K389" s="3" t="s">
        <v>677</v>
      </c>
      <c r="L389" s="3" t="s">
        <v>702</v>
      </c>
      <c r="M389" s="4" t="s">
        <v>0</v>
      </c>
      <c r="N389" s="3" t="s">
        <v>0</v>
      </c>
    </row>
    <row r="390" spans="1:14" x14ac:dyDescent="0.3">
      <c r="A390" s="1" t="s">
        <v>615</v>
      </c>
      <c r="B390" s="1" t="s">
        <v>290</v>
      </c>
      <c r="C390" s="2" t="s">
        <v>667</v>
      </c>
      <c r="D390" s="3" t="s">
        <v>731</v>
      </c>
      <c r="E390" s="4">
        <v>96990</v>
      </c>
      <c r="F390" s="4">
        <v>78496</v>
      </c>
      <c r="G390" s="4">
        <v>89990</v>
      </c>
      <c r="H390" s="4">
        <v>72831</v>
      </c>
      <c r="I390" s="4">
        <v>7000</v>
      </c>
      <c r="J390" s="4">
        <v>5665</v>
      </c>
      <c r="K390" s="3" t="s">
        <v>680</v>
      </c>
      <c r="L390" s="3" t="s">
        <v>681</v>
      </c>
      <c r="M390" s="4" t="s">
        <v>0</v>
      </c>
      <c r="N390" s="3" t="s">
        <v>0</v>
      </c>
    </row>
    <row r="391" spans="1:14" x14ac:dyDescent="0.3">
      <c r="A391" s="1" t="s">
        <v>615</v>
      </c>
      <c r="B391" s="1" t="s">
        <v>291</v>
      </c>
      <c r="C391" s="2" t="s">
        <v>2</v>
      </c>
      <c r="D391" s="3" t="s">
        <v>731</v>
      </c>
      <c r="E391" s="4">
        <v>96990</v>
      </c>
      <c r="F391" s="4">
        <v>78496</v>
      </c>
      <c r="G391" s="4">
        <v>89990</v>
      </c>
      <c r="H391" s="4">
        <v>72831</v>
      </c>
      <c r="I391" s="4">
        <v>7000</v>
      </c>
      <c r="J391" s="4">
        <v>5665</v>
      </c>
      <c r="K391" s="3" t="s">
        <v>680</v>
      </c>
      <c r="L391" s="3" t="s">
        <v>681</v>
      </c>
      <c r="M391" s="4" t="s">
        <v>0</v>
      </c>
      <c r="N391" s="3" t="s">
        <v>0</v>
      </c>
    </row>
    <row r="392" spans="1:14" x14ac:dyDescent="0.3">
      <c r="A392" s="1" t="s">
        <v>637</v>
      </c>
      <c r="B392" s="1" t="s">
        <v>368</v>
      </c>
      <c r="C392" s="2" t="s">
        <v>13</v>
      </c>
      <c r="D392" s="3" t="s">
        <v>750</v>
      </c>
      <c r="E392" s="4">
        <v>106990</v>
      </c>
      <c r="F392" s="4">
        <v>86589</v>
      </c>
      <c r="G392" s="4">
        <v>89990</v>
      </c>
      <c r="H392" s="4">
        <v>72831</v>
      </c>
      <c r="I392" s="4">
        <v>17000</v>
      </c>
      <c r="J392" s="4">
        <v>13758</v>
      </c>
      <c r="K392" s="3" t="s">
        <v>680</v>
      </c>
      <c r="L392" s="3" t="s">
        <v>705</v>
      </c>
      <c r="M392" s="4" t="s">
        <v>0</v>
      </c>
      <c r="N392" s="3" t="s">
        <v>0</v>
      </c>
    </row>
    <row r="393" spans="1:14" x14ac:dyDescent="0.3">
      <c r="A393" s="1" t="s">
        <v>637</v>
      </c>
      <c r="B393" s="1" t="s">
        <v>369</v>
      </c>
      <c r="C393" s="2" t="s">
        <v>666</v>
      </c>
      <c r="D393" s="3" t="s">
        <v>750</v>
      </c>
      <c r="E393" s="4">
        <v>106990</v>
      </c>
      <c r="F393" s="4">
        <v>86589</v>
      </c>
      <c r="G393" s="4">
        <v>89990</v>
      </c>
      <c r="H393" s="4">
        <v>72831</v>
      </c>
      <c r="I393" s="4">
        <v>17000</v>
      </c>
      <c r="J393" s="4">
        <v>13758</v>
      </c>
      <c r="K393" s="3" t="s">
        <v>680</v>
      </c>
      <c r="L393" s="3" t="s">
        <v>705</v>
      </c>
      <c r="M393" s="4" t="s">
        <v>0</v>
      </c>
      <c r="N393" s="3" t="s">
        <v>0</v>
      </c>
    </row>
    <row r="394" spans="1:14" x14ac:dyDescent="0.3">
      <c r="A394" s="1" t="s">
        <v>637</v>
      </c>
      <c r="B394" s="1" t="s">
        <v>370</v>
      </c>
      <c r="C394" s="2" t="s">
        <v>2</v>
      </c>
      <c r="D394" s="3" t="s">
        <v>750</v>
      </c>
      <c r="E394" s="4">
        <v>106990</v>
      </c>
      <c r="F394" s="4">
        <v>86589</v>
      </c>
      <c r="G394" s="4">
        <v>89990</v>
      </c>
      <c r="H394" s="4">
        <v>72831</v>
      </c>
      <c r="I394" s="4">
        <v>17000</v>
      </c>
      <c r="J394" s="4">
        <v>13758</v>
      </c>
      <c r="K394" s="3" t="s">
        <v>680</v>
      </c>
      <c r="L394" s="3" t="s">
        <v>705</v>
      </c>
      <c r="M394" s="4" t="s">
        <v>0</v>
      </c>
      <c r="N394" s="3" t="s">
        <v>0</v>
      </c>
    </row>
    <row r="395" spans="1:14" x14ac:dyDescent="0.3">
      <c r="A395" s="1" t="s">
        <v>637</v>
      </c>
      <c r="B395" s="1" t="s">
        <v>371</v>
      </c>
      <c r="C395" s="2" t="s">
        <v>2</v>
      </c>
      <c r="D395" s="3" t="s">
        <v>750</v>
      </c>
      <c r="E395" s="4">
        <v>106990</v>
      </c>
      <c r="F395" s="4">
        <v>86589</v>
      </c>
      <c r="G395" s="4">
        <v>89990</v>
      </c>
      <c r="H395" s="4">
        <v>72831</v>
      </c>
      <c r="I395" s="4">
        <v>17000</v>
      </c>
      <c r="J395" s="4">
        <v>13758</v>
      </c>
      <c r="K395" s="3" t="s">
        <v>680</v>
      </c>
      <c r="L395" s="3" t="s">
        <v>705</v>
      </c>
      <c r="M395" s="4" t="s">
        <v>0</v>
      </c>
      <c r="N395" s="3" t="s">
        <v>0</v>
      </c>
    </row>
    <row r="396" spans="1:14" x14ac:dyDescent="0.3">
      <c r="A396" s="1" t="s">
        <v>564</v>
      </c>
      <c r="B396" s="1" t="s">
        <v>55</v>
      </c>
      <c r="C396" s="2" t="s">
        <v>666</v>
      </c>
      <c r="D396" s="3" t="s">
        <v>691</v>
      </c>
      <c r="E396" s="4">
        <v>111990</v>
      </c>
      <c r="F396" s="4">
        <v>90636</v>
      </c>
      <c r="G396" s="4">
        <v>89990</v>
      </c>
      <c r="H396" s="4">
        <v>72831</v>
      </c>
      <c r="I396" s="4">
        <v>22000</v>
      </c>
      <c r="J396" s="4">
        <v>17805</v>
      </c>
      <c r="K396" s="3" t="s">
        <v>680</v>
      </c>
      <c r="L396" s="3" t="s">
        <v>689</v>
      </c>
      <c r="M396" s="4" t="s">
        <v>0</v>
      </c>
      <c r="N396" s="3" t="s">
        <v>0</v>
      </c>
    </row>
    <row r="397" spans="1:14" x14ac:dyDescent="0.3">
      <c r="A397" s="1" t="s">
        <v>564</v>
      </c>
      <c r="B397" s="1" t="s">
        <v>56</v>
      </c>
      <c r="C397" s="2" t="s">
        <v>18</v>
      </c>
      <c r="D397" s="3" t="s">
        <v>691</v>
      </c>
      <c r="E397" s="4">
        <v>111990</v>
      </c>
      <c r="F397" s="4">
        <v>90636</v>
      </c>
      <c r="G397" s="4">
        <v>89990</v>
      </c>
      <c r="H397" s="4">
        <v>72831</v>
      </c>
      <c r="I397" s="4">
        <v>22000</v>
      </c>
      <c r="J397" s="4">
        <v>17805</v>
      </c>
      <c r="K397" s="3" t="s">
        <v>680</v>
      </c>
      <c r="L397" s="3" t="s">
        <v>689</v>
      </c>
      <c r="M397" s="4" t="s">
        <v>0</v>
      </c>
      <c r="N397" s="3" t="s">
        <v>0</v>
      </c>
    </row>
    <row r="398" spans="1:14" x14ac:dyDescent="0.3">
      <c r="A398" s="1" t="s">
        <v>610</v>
      </c>
      <c r="B398" s="1" t="s">
        <v>259</v>
      </c>
      <c r="C398" s="2" t="s">
        <v>18</v>
      </c>
      <c r="D398" s="3" t="s">
        <v>723</v>
      </c>
      <c r="E398" s="4">
        <v>98990</v>
      </c>
      <c r="F398" s="4">
        <v>80115</v>
      </c>
      <c r="G398" s="4">
        <v>90990</v>
      </c>
      <c r="H398" s="4">
        <v>73640</v>
      </c>
      <c r="I398" s="4">
        <v>8000</v>
      </c>
      <c r="J398" s="4">
        <v>6475</v>
      </c>
      <c r="K398" s="3" t="s">
        <v>680</v>
      </c>
      <c r="L398" s="3" t="s">
        <v>681</v>
      </c>
      <c r="M398" s="4" t="s">
        <v>0</v>
      </c>
      <c r="N398" s="3" t="s">
        <v>0</v>
      </c>
    </row>
    <row r="399" spans="1:14" x14ac:dyDescent="0.3">
      <c r="A399" s="1" t="s">
        <v>550</v>
      </c>
      <c r="B399" s="1" t="s">
        <v>522</v>
      </c>
      <c r="C399" s="2" t="s">
        <v>24</v>
      </c>
      <c r="D399" s="3" t="s">
        <v>764</v>
      </c>
      <c r="E399" s="4">
        <v>91990</v>
      </c>
      <c r="F399" s="4">
        <v>74450</v>
      </c>
      <c r="G399" s="4">
        <v>90990</v>
      </c>
      <c r="H399" s="4">
        <v>73640</v>
      </c>
      <c r="I399" s="4">
        <v>1000</v>
      </c>
      <c r="J399" s="4">
        <v>810</v>
      </c>
      <c r="K399" s="3" t="s">
        <v>680</v>
      </c>
      <c r="L399" s="3" t="s">
        <v>757</v>
      </c>
      <c r="M399" s="4" t="s">
        <v>0</v>
      </c>
      <c r="N399" s="3" t="s">
        <v>0</v>
      </c>
    </row>
    <row r="400" spans="1:14" x14ac:dyDescent="0.3">
      <c r="A400" s="1" t="s">
        <v>550</v>
      </c>
      <c r="B400" s="1" t="s">
        <v>523</v>
      </c>
      <c r="C400" s="2" t="s">
        <v>2</v>
      </c>
      <c r="D400" s="3" t="s">
        <v>764</v>
      </c>
      <c r="E400" s="4">
        <v>91990</v>
      </c>
      <c r="F400" s="4">
        <v>74450</v>
      </c>
      <c r="G400" s="4">
        <v>90990</v>
      </c>
      <c r="H400" s="4">
        <v>73640</v>
      </c>
      <c r="I400" s="4">
        <v>1000</v>
      </c>
      <c r="J400" s="4">
        <v>810</v>
      </c>
      <c r="K400" s="3" t="s">
        <v>680</v>
      </c>
      <c r="L400" s="3" t="s">
        <v>757</v>
      </c>
      <c r="M400" s="4" t="s">
        <v>0</v>
      </c>
      <c r="N400" s="3" t="s">
        <v>0</v>
      </c>
    </row>
    <row r="401" spans="1:14" x14ac:dyDescent="0.3">
      <c r="A401" s="1" t="s">
        <v>550</v>
      </c>
      <c r="B401" s="1" t="s">
        <v>524</v>
      </c>
      <c r="C401" s="2" t="s">
        <v>667</v>
      </c>
      <c r="D401" s="3" t="s">
        <v>764</v>
      </c>
      <c r="E401" s="4">
        <v>91990</v>
      </c>
      <c r="F401" s="4">
        <v>74450</v>
      </c>
      <c r="G401" s="4">
        <v>90990</v>
      </c>
      <c r="H401" s="4">
        <v>73640</v>
      </c>
      <c r="I401" s="4">
        <v>1000</v>
      </c>
      <c r="J401" s="4">
        <v>810</v>
      </c>
      <c r="K401" s="3" t="s">
        <v>680</v>
      </c>
      <c r="L401" s="3" t="s">
        <v>757</v>
      </c>
      <c r="M401" s="4" t="s">
        <v>0</v>
      </c>
      <c r="N401" s="3" t="s">
        <v>0</v>
      </c>
    </row>
    <row r="402" spans="1:14" x14ac:dyDescent="0.3">
      <c r="A402" s="1" t="s">
        <v>641</v>
      </c>
      <c r="B402" s="1" t="s">
        <v>387</v>
      </c>
      <c r="C402" s="2" t="s">
        <v>51</v>
      </c>
      <c r="D402" s="3" t="s">
        <v>754</v>
      </c>
      <c r="E402" s="4">
        <v>104990</v>
      </c>
      <c r="F402" s="4">
        <v>84971</v>
      </c>
      <c r="G402" s="4">
        <v>92990</v>
      </c>
      <c r="H402" s="4">
        <v>75259</v>
      </c>
      <c r="I402" s="4">
        <v>12000</v>
      </c>
      <c r="J402" s="4">
        <v>9712</v>
      </c>
      <c r="K402" s="3" t="s">
        <v>680</v>
      </c>
      <c r="L402" s="3" t="s">
        <v>705</v>
      </c>
      <c r="M402" s="4" t="s">
        <v>0</v>
      </c>
      <c r="N402" s="3" t="s">
        <v>0</v>
      </c>
    </row>
    <row r="403" spans="1:14" x14ac:dyDescent="0.3">
      <c r="A403" s="8" t="s">
        <v>933</v>
      </c>
      <c r="B403" s="8" t="s">
        <v>880</v>
      </c>
      <c r="C403" s="8" t="s">
        <v>822</v>
      </c>
      <c r="D403" s="3" t="s">
        <v>970</v>
      </c>
      <c r="G403" s="4">
        <v>95000</v>
      </c>
      <c r="H403" s="4">
        <v>72077</v>
      </c>
      <c r="J403" s="4">
        <v>7931</v>
      </c>
      <c r="K403" s="3" t="str">
        <f>IFERROR(VLOOKUP(A403,[1]Sheet5!$C:$O,12,0),"00")</f>
        <v>01 - 29 MARCH</v>
      </c>
      <c r="L403" s="3" t="str">
        <f>IFERROR(VLOOKUP(A403,[1]Sheet5!$C:$O,13,0),"00")</f>
        <v>(NB20260315)_Mar_Sellout Support_RF _Asus_Select</v>
      </c>
    </row>
    <row r="404" spans="1:14" x14ac:dyDescent="0.3">
      <c r="A404" s="8" t="s">
        <v>932</v>
      </c>
      <c r="B404" s="8" t="s">
        <v>879</v>
      </c>
      <c r="C404" s="8" t="s">
        <v>822</v>
      </c>
      <c r="D404" s="3" t="s">
        <v>794</v>
      </c>
      <c r="G404" s="4">
        <v>96000</v>
      </c>
      <c r="H404" s="4">
        <v>74585</v>
      </c>
      <c r="J404" s="4">
        <v>2590</v>
      </c>
      <c r="K404" s="3" t="str">
        <f>IFERROR(VLOOKUP(A404,[1]Sheet5!$C:$O,12,0),"00")</f>
        <v>01 - 29 MARCH</v>
      </c>
      <c r="L404" s="3" t="str">
        <f>IFERROR(VLOOKUP(A404,[1]Sheet5!$C:$O,13,0),"00")</f>
        <v>(NB20260315)_Mar_Sellout Support_RF _Asus_Select</v>
      </c>
    </row>
    <row r="405" spans="1:14" x14ac:dyDescent="0.3">
      <c r="A405" s="1" t="s">
        <v>630</v>
      </c>
      <c r="B405" s="1" t="s">
        <v>339</v>
      </c>
      <c r="C405" s="2" t="s">
        <v>2</v>
      </c>
      <c r="D405" s="3" t="s">
        <v>744</v>
      </c>
      <c r="E405" s="4">
        <v>109990</v>
      </c>
      <c r="F405" s="4">
        <v>89017</v>
      </c>
      <c r="G405" s="4">
        <v>98990</v>
      </c>
      <c r="H405" s="4">
        <v>80115</v>
      </c>
      <c r="I405" s="4">
        <v>11000</v>
      </c>
      <c r="J405" s="4">
        <v>8902</v>
      </c>
      <c r="K405" s="3" t="s">
        <v>677</v>
      </c>
      <c r="L405" s="3" t="s">
        <v>702</v>
      </c>
      <c r="M405" s="4" t="s">
        <v>0</v>
      </c>
      <c r="N405" s="3" t="s">
        <v>0</v>
      </c>
    </row>
    <row r="406" spans="1:14" x14ac:dyDescent="0.3">
      <c r="A406" s="1" t="s">
        <v>630</v>
      </c>
      <c r="B406" s="1" t="s">
        <v>340</v>
      </c>
      <c r="C406" s="2" t="s">
        <v>2</v>
      </c>
      <c r="D406" s="3" t="s">
        <v>744</v>
      </c>
      <c r="E406" s="4">
        <v>109990</v>
      </c>
      <c r="F406" s="4">
        <v>89017</v>
      </c>
      <c r="G406" s="4">
        <v>98990</v>
      </c>
      <c r="H406" s="4">
        <v>80115</v>
      </c>
      <c r="I406" s="4">
        <v>11000</v>
      </c>
      <c r="J406" s="4">
        <v>8902</v>
      </c>
      <c r="K406" s="3" t="s">
        <v>677</v>
      </c>
      <c r="L406" s="3" t="s">
        <v>702</v>
      </c>
      <c r="M406" s="4" t="s">
        <v>0</v>
      </c>
      <c r="N406" s="3" t="s">
        <v>0</v>
      </c>
    </row>
    <row r="407" spans="1:14" x14ac:dyDescent="0.3">
      <c r="A407" s="1" t="s">
        <v>630</v>
      </c>
      <c r="B407" s="1" t="s">
        <v>341</v>
      </c>
      <c r="C407" s="2" t="s">
        <v>2</v>
      </c>
      <c r="D407" s="3" t="s">
        <v>744</v>
      </c>
      <c r="E407" s="4">
        <v>109990</v>
      </c>
      <c r="F407" s="4">
        <v>89017</v>
      </c>
      <c r="G407" s="4">
        <v>98990</v>
      </c>
      <c r="H407" s="4">
        <v>80115</v>
      </c>
      <c r="I407" s="4">
        <v>11000</v>
      </c>
      <c r="J407" s="4">
        <v>8902</v>
      </c>
      <c r="K407" s="3" t="s">
        <v>677</v>
      </c>
      <c r="L407" s="3" t="s">
        <v>702</v>
      </c>
      <c r="M407" s="4" t="s">
        <v>0</v>
      </c>
      <c r="N407" s="3" t="s">
        <v>0</v>
      </c>
    </row>
    <row r="408" spans="1:14" x14ac:dyDescent="0.3">
      <c r="A408" s="1" t="s">
        <v>630</v>
      </c>
      <c r="B408" s="1" t="s">
        <v>342</v>
      </c>
      <c r="C408" s="2" t="s">
        <v>666</v>
      </c>
      <c r="D408" s="3" t="s">
        <v>744</v>
      </c>
      <c r="E408" s="4">
        <v>109990</v>
      </c>
      <c r="F408" s="4">
        <v>89017</v>
      </c>
      <c r="G408" s="4">
        <v>98990</v>
      </c>
      <c r="H408" s="4">
        <v>80115</v>
      </c>
      <c r="I408" s="4">
        <v>11000</v>
      </c>
      <c r="J408" s="4">
        <v>8902</v>
      </c>
      <c r="K408" s="3" t="s">
        <v>677</v>
      </c>
      <c r="L408" s="3" t="s">
        <v>702</v>
      </c>
      <c r="M408" s="4" t="s">
        <v>0</v>
      </c>
      <c r="N408" s="3" t="s">
        <v>0</v>
      </c>
    </row>
    <row r="409" spans="1:14" x14ac:dyDescent="0.3">
      <c r="A409" s="1" t="s">
        <v>628</v>
      </c>
      <c r="B409" s="1" t="s">
        <v>337</v>
      </c>
      <c r="C409" s="2" t="s">
        <v>18</v>
      </c>
      <c r="D409" s="3" t="s">
        <v>742</v>
      </c>
      <c r="E409" s="4">
        <v>139990</v>
      </c>
      <c r="F409" s="4">
        <v>113297</v>
      </c>
      <c r="G409" s="4">
        <v>99990</v>
      </c>
      <c r="H409" s="4">
        <v>80924</v>
      </c>
      <c r="I409" s="4">
        <v>40000</v>
      </c>
      <c r="J409" s="4">
        <v>32373</v>
      </c>
      <c r="K409" s="3" t="s">
        <v>680</v>
      </c>
      <c r="L409" s="3" t="s">
        <v>681</v>
      </c>
      <c r="M409" s="4" t="s">
        <v>0</v>
      </c>
      <c r="N409" s="3" t="s">
        <v>0</v>
      </c>
    </row>
    <row r="410" spans="1:14" x14ac:dyDescent="0.3">
      <c r="A410" s="1" t="s">
        <v>638</v>
      </c>
      <c r="B410" s="1" t="s">
        <v>372</v>
      </c>
      <c r="C410" s="2" t="s">
        <v>2</v>
      </c>
      <c r="D410" s="3" t="s">
        <v>751</v>
      </c>
      <c r="E410" s="4">
        <v>114990</v>
      </c>
      <c r="F410" s="4">
        <v>93064</v>
      </c>
      <c r="G410" s="4">
        <v>99990</v>
      </c>
      <c r="H410" s="4">
        <v>80924</v>
      </c>
      <c r="I410" s="4">
        <v>15000</v>
      </c>
      <c r="J410" s="4">
        <v>12140</v>
      </c>
      <c r="K410" s="3" t="s">
        <v>680</v>
      </c>
      <c r="L410" s="3" t="s">
        <v>705</v>
      </c>
      <c r="M410" s="4" t="s">
        <v>0</v>
      </c>
      <c r="N410" s="3" t="s">
        <v>0</v>
      </c>
    </row>
    <row r="411" spans="1:14" x14ac:dyDescent="0.3">
      <c r="A411" s="1" t="s">
        <v>638</v>
      </c>
      <c r="B411" s="1" t="s">
        <v>373</v>
      </c>
      <c r="C411" s="2" t="s">
        <v>54</v>
      </c>
      <c r="D411" s="3" t="s">
        <v>751</v>
      </c>
      <c r="E411" s="4">
        <v>114990</v>
      </c>
      <c r="F411" s="4">
        <v>93064</v>
      </c>
      <c r="G411" s="4">
        <v>99990</v>
      </c>
      <c r="H411" s="4">
        <v>80924</v>
      </c>
      <c r="I411" s="4">
        <v>15000</v>
      </c>
      <c r="J411" s="4">
        <v>12140</v>
      </c>
      <c r="K411" s="3" t="s">
        <v>680</v>
      </c>
      <c r="L411" s="3" t="s">
        <v>705</v>
      </c>
      <c r="M411" s="4" t="s">
        <v>0</v>
      </c>
      <c r="N411" s="3" t="s">
        <v>0</v>
      </c>
    </row>
    <row r="412" spans="1:14" x14ac:dyDescent="0.3">
      <c r="A412" s="1" t="s">
        <v>638</v>
      </c>
      <c r="B412" s="1" t="s">
        <v>374</v>
      </c>
      <c r="C412" s="2" t="s">
        <v>2</v>
      </c>
      <c r="D412" s="3" t="s">
        <v>751</v>
      </c>
      <c r="E412" s="4">
        <v>114990</v>
      </c>
      <c r="F412" s="4">
        <v>93064</v>
      </c>
      <c r="G412" s="4">
        <v>99990</v>
      </c>
      <c r="H412" s="4">
        <v>80924</v>
      </c>
      <c r="I412" s="4">
        <v>15000</v>
      </c>
      <c r="J412" s="4">
        <v>12140</v>
      </c>
      <c r="K412" s="3" t="s">
        <v>680</v>
      </c>
      <c r="L412" s="3" t="s">
        <v>705</v>
      </c>
      <c r="M412" s="4" t="s">
        <v>0</v>
      </c>
      <c r="N412" s="3" t="s">
        <v>0</v>
      </c>
    </row>
    <row r="413" spans="1:14" x14ac:dyDescent="0.3">
      <c r="A413" s="1" t="s">
        <v>638</v>
      </c>
      <c r="B413" s="1" t="s">
        <v>375</v>
      </c>
      <c r="C413" s="2" t="s">
        <v>16</v>
      </c>
      <c r="D413" s="3" t="s">
        <v>751</v>
      </c>
      <c r="E413" s="4">
        <v>114990</v>
      </c>
      <c r="F413" s="4">
        <v>93064</v>
      </c>
      <c r="G413" s="4">
        <v>99990</v>
      </c>
      <c r="H413" s="4">
        <v>80924</v>
      </c>
      <c r="I413" s="4">
        <v>15000</v>
      </c>
      <c r="J413" s="4">
        <v>12140</v>
      </c>
      <c r="K413" s="3" t="s">
        <v>680</v>
      </c>
      <c r="L413" s="3" t="s">
        <v>705</v>
      </c>
      <c r="M413" s="4" t="s">
        <v>0</v>
      </c>
      <c r="N413" s="3" t="s">
        <v>0</v>
      </c>
    </row>
    <row r="414" spans="1:14" x14ac:dyDescent="0.3">
      <c r="A414" s="1" t="s">
        <v>638</v>
      </c>
      <c r="B414" s="1" t="s">
        <v>376</v>
      </c>
      <c r="C414" s="2" t="s">
        <v>666</v>
      </c>
      <c r="D414" s="3" t="s">
        <v>751</v>
      </c>
      <c r="E414" s="4">
        <v>114990</v>
      </c>
      <c r="F414" s="4">
        <v>93064</v>
      </c>
      <c r="G414" s="4">
        <v>99990</v>
      </c>
      <c r="H414" s="4">
        <v>80924</v>
      </c>
      <c r="I414" s="4">
        <v>15000</v>
      </c>
      <c r="J414" s="4">
        <v>12140</v>
      </c>
      <c r="K414" s="3" t="s">
        <v>680</v>
      </c>
      <c r="L414" s="3" t="s">
        <v>705</v>
      </c>
      <c r="M414" s="4" t="s">
        <v>0</v>
      </c>
      <c r="N414" s="3" t="s">
        <v>0</v>
      </c>
    </row>
    <row r="415" spans="1:14" x14ac:dyDescent="0.3">
      <c r="A415" s="1" t="s">
        <v>638</v>
      </c>
      <c r="B415" s="1" t="s">
        <v>377</v>
      </c>
      <c r="C415" s="2" t="s">
        <v>22</v>
      </c>
      <c r="D415" s="3" t="s">
        <v>751</v>
      </c>
      <c r="E415" s="4">
        <v>114990</v>
      </c>
      <c r="F415" s="4">
        <v>93064</v>
      </c>
      <c r="G415" s="4">
        <v>99990</v>
      </c>
      <c r="H415" s="4">
        <v>80924</v>
      </c>
      <c r="I415" s="4">
        <v>15000</v>
      </c>
      <c r="J415" s="4">
        <v>12140</v>
      </c>
      <c r="K415" s="3" t="s">
        <v>680</v>
      </c>
      <c r="L415" s="3" t="s">
        <v>705</v>
      </c>
      <c r="M415" s="4" t="s">
        <v>0</v>
      </c>
      <c r="N415" s="3" t="s">
        <v>0</v>
      </c>
    </row>
    <row r="416" spans="1:14" x14ac:dyDescent="0.3">
      <c r="A416" s="1" t="s">
        <v>638</v>
      </c>
      <c r="B416" s="1" t="s">
        <v>378</v>
      </c>
      <c r="C416" s="2" t="s">
        <v>11</v>
      </c>
      <c r="D416" s="3" t="s">
        <v>751</v>
      </c>
      <c r="E416" s="4">
        <v>114990</v>
      </c>
      <c r="F416" s="4">
        <v>93064</v>
      </c>
      <c r="G416" s="4">
        <v>99990</v>
      </c>
      <c r="H416" s="4">
        <v>80924</v>
      </c>
      <c r="I416" s="4">
        <v>15000</v>
      </c>
      <c r="J416" s="4">
        <v>12140</v>
      </c>
      <c r="K416" s="3" t="s">
        <v>680</v>
      </c>
      <c r="L416" s="3" t="s">
        <v>705</v>
      </c>
      <c r="M416" s="4" t="s">
        <v>0</v>
      </c>
      <c r="N416" s="3" t="s">
        <v>0</v>
      </c>
    </row>
    <row r="417" spans="1:14" x14ac:dyDescent="0.3">
      <c r="A417" s="1" t="s">
        <v>638</v>
      </c>
      <c r="B417" s="1" t="s">
        <v>379</v>
      </c>
      <c r="C417" s="2" t="s">
        <v>2</v>
      </c>
      <c r="D417" s="3" t="s">
        <v>751</v>
      </c>
      <c r="E417" s="4">
        <v>114990</v>
      </c>
      <c r="F417" s="4">
        <v>93064</v>
      </c>
      <c r="G417" s="4">
        <v>99990</v>
      </c>
      <c r="H417" s="4">
        <v>80924</v>
      </c>
      <c r="I417" s="4">
        <v>15000</v>
      </c>
      <c r="J417" s="4">
        <v>12140</v>
      </c>
      <c r="K417" s="3" t="s">
        <v>680</v>
      </c>
      <c r="L417" s="3" t="s">
        <v>705</v>
      </c>
      <c r="M417" s="4" t="s">
        <v>0</v>
      </c>
      <c r="N417" s="3" t="s">
        <v>0</v>
      </c>
    </row>
    <row r="418" spans="1:14" x14ac:dyDescent="0.3">
      <c r="A418" s="1" t="s">
        <v>638</v>
      </c>
      <c r="B418" s="1" t="s">
        <v>380</v>
      </c>
      <c r="C418" s="2" t="s">
        <v>2</v>
      </c>
      <c r="D418" s="3" t="s">
        <v>751</v>
      </c>
      <c r="E418" s="4">
        <v>114990</v>
      </c>
      <c r="F418" s="4">
        <v>93064</v>
      </c>
      <c r="G418" s="4">
        <v>99990</v>
      </c>
      <c r="H418" s="4">
        <v>80924</v>
      </c>
      <c r="I418" s="4">
        <v>15000</v>
      </c>
      <c r="J418" s="4">
        <v>12140</v>
      </c>
      <c r="K418" s="3" t="s">
        <v>680</v>
      </c>
      <c r="L418" s="3" t="s">
        <v>705</v>
      </c>
      <c r="M418" s="4" t="s">
        <v>0</v>
      </c>
      <c r="N418" s="3" t="s">
        <v>0</v>
      </c>
    </row>
    <row r="419" spans="1:14" x14ac:dyDescent="0.3">
      <c r="A419" s="1" t="s">
        <v>662</v>
      </c>
      <c r="B419" s="1" t="s">
        <v>1</v>
      </c>
      <c r="C419" s="2" t="s">
        <v>2</v>
      </c>
      <c r="D419" s="3" t="s">
        <v>790</v>
      </c>
      <c r="E419" s="4" t="s">
        <v>0</v>
      </c>
      <c r="F419" s="4" t="s">
        <v>0</v>
      </c>
      <c r="G419" s="4">
        <v>99990</v>
      </c>
      <c r="H419" s="4">
        <v>82195</v>
      </c>
      <c r="I419" s="4" t="s">
        <v>0</v>
      </c>
      <c r="J419" s="4" t="s">
        <v>0</v>
      </c>
      <c r="K419" s="3" t="s">
        <v>677</v>
      </c>
      <c r="L419" s="3" t="s">
        <v>784</v>
      </c>
      <c r="M419" s="4" t="s">
        <v>0</v>
      </c>
      <c r="N419" s="3" t="s">
        <v>0</v>
      </c>
    </row>
    <row r="420" spans="1:14" x14ac:dyDescent="0.3">
      <c r="A420" s="1" t="s">
        <v>553</v>
      </c>
      <c r="B420" s="1" t="s">
        <v>527</v>
      </c>
      <c r="C420" s="2" t="s">
        <v>24</v>
      </c>
      <c r="D420" s="3" t="s">
        <v>726</v>
      </c>
      <c r="E420" s="4">
        <v>105990</v>
      </c>
      <c r="F420" s="4">
        <v>85780</v>
      </c>
      <c r="G420" s="4">
        <v>100990</v>
      </c>
      <c r="H420" s="4">
        <v>81733</v>
      </c>
      <c r="I420" s="4">
        <v>5000</v>
      </c>
      <c r="J420" s="4">
        <v>4047</v>
      </c>
      <c r="K420" s="3" t="s">
        <v>680</v>
      </c>
      <c r="L420" s="3" t="s">
        <v>727</v>
      </c>
      <c r="M420" s="4" t="s">
        <v>0</v>
      </c>
      <c r="N420" s="3" t="s">
        <v>0</v>
      </c>
    </row>
    <row r="421" spans="1:14" x14ac:dyDescent="0.3">
      <c r="A421" s="1" t="s">
        <v>553</v>
      </c>
      <c r="B421" s="1" t="s">
        <v>528</v>
      </c>
      <c r="C421" s="2" t="s">
        <v>667</v>
      </c>
      <c r="D421" s="3" t="s">
        <v>726</v>
      </c>
      <c r="E421" s="4">
        <v>105990</v>
      </c>
      <c r="F421" s="4">
        <v>85780</v>
      </c>
      <c r="G421" s="4">
        <v>100990</v>
      </c>
      <c r="H421" s="4">
        <v>81733</v>
      </c>
      <c r="I421" s="4">
        <v>5000</v>
      </c>
      <c r="J421" s="4">
        <v>4047</v>
      </c>
      <c r="K421" s="3" t="s">
        <v>680</v>
      </c>
      <c r="L421" s="3" t="s">
        <v>727</v>
      </c>
      <c r="M421" s="4" t="s">
        <v>0</v>
      </c>
      <c r="N421" s="3" t="s">
        <v>0</v>
      </c>
    </row>
    <row r="422" spans="1:14" x14ac:dyDescent="0.3">
      <c r="A422" s="8" t="s">
        <v>934</v>
      </c>
      <c r="B422" s="8" t="s">
        <v>881</v>
      </c>
      <c r="C422" s="8" t="s">
        <v>815</v>
      </c>
      <c r="D422" s="3" t="s">
        <v>971</v>
      </c>
      <c r="G422" s="4">
        <v>103000</v>
      </c>
      <c r="H422" s="4">
        <v>80008</v>
      </c>
      <c r="J422" s="4">
        <v>2833</v>
      </c>
      <c r="K422" s="3" t="str">
        <f>IFERROR(VLOOKUP(A422,[1]Sheet5!$C:$O,12,0),"00")</f>
        <v>01 - 29 MARCH</v>
      </c>
      <c r="L422" s="3" t="str">
        <f>IFERROR(VLOOKUP(A422,[1]Sheet5!$C:$O,13,0),"00")</f>
        <v>(NB20260315)_Mar_Sellout Support_RF _Asus_Select</v>
      </c>
    </row>
    <row r="423" spans="1:14" x14ac:dyDescent="0.3">
      <c r="A423" s="1" t="s">
        <v>620</v>
      </c>
      <c r="B423" s="1" t="s">
        <v>307</v>
      </c>
      <c r="C423" s="2" t="s">
        <v>2</v>
      </c>
      <c r="D423" s="3" t="s">
        <v>734</v>
      </c>
      <c r="E423" s="4">
        <v>114990</v>
      </c>
      <c r="F423" s="4">
        <v>93064</v>
      </c>
      <c r="G423" s="4">
        <v>104990</v>
      </c>
      <c r="H423" s="4">
        <v>84971</v>
      </c>
      <c r="I423" s="4">
        <v>10000</v>
      </c>
      <c r="J423" s="4">
        <v>8093</v>
      </c>
      <c r="K423" s="3" t="s">
        <v>680</v>
      </c>
      <c r="L423" s="3" t="s">
        <v>681</v>
      </c>
      <c r="M423" s="4" t="s">
        <v>0</v>
      </c>
      <c r="N423" s="3" t="s">
        <v>0</v>
      </c>
    </row>
    <row r="424" spans="1:14" x14ac:dyDescent="0.3">
      <c r="A424" s="1" t="s">
        <v>622</v>
      </c>
      <c r="B424" s="1" t="s">
        <v>312</v>
      </c>
      <c r="C424" s="2" t="s">
        <v>54</v>
      </c>
      <c r="D424" s="3" t="s">
        <v>736</v>
      </c>
      <c r="E424" s="4">
        <v>114990</v>
      </c>
      <c r="F424" s="4">
        <v>93064</v>
      </c>
      <c r="G424" s="4">
        <v>104990</v>
      </c>
      <c r="H424" s="4">
        <v>84971</v>
      </c>
      <c r="I424" s="4">
        <v>10000</v>
      </c>
      <c r="J424" s="4">
        <v>8093</v>
      </c>
      <c r="K424" s="3" t="s">
        <v>680</v>
      </c>
      <c r="L424" s="3" t="s">
        <v>681</v>
      </c>
      <c r="M424" s="4" t="s">
        <v>0</v>
      </c>
      <c r="N424" s="3" t="s">
        <v>0</v>
      </c>
    </row>
    <row r="425" spans="1:14" x14ac:dyDescent="0.3">
      <c r="A425" s="1" t="s">
        <v>616</v>
      </c>
      <c r="B425" s="1" t="s">
        <v>292</v>
      </c>
      <c r="C425" s="2" t="s">
        <v>4</v>
      </c>
      <c r="D425" s="3" t="s">
        <v>732</v>
      </c>
      <c r="E425" s="4">
        <v>108990</v>
      </c>
      <c r="F425" s="4">
        <v>88208</v>
      </c>
      <c r="G425" s="4">
        <v>104990</v>
      </c>
      <c r="H425" s="4">
        <v>84971</v>
      </c>
      <c r="I425" s="4">
        <v>4000</v>
      </c>
      <c r="J425" s="4">
        <v>3237</v>
      </c>
      <c r="K425" s="3" t="s">
        <v>680</v>
      </c>
      <c r="L425" s="3" t="s">
        <v>681</v>
      </c>
      <c r="M425" s="4" t="s">
        <v>0</v>
      </c>
      <c r="N425" s="3" t="s">
        <v>0</v>
      </c>
    </row>
    <row r="426" spans="1:14" x14ac:dyDescent="0.3">
      <c r="A426" s="1" t="s">
        <v>616</v>
      </c>
      <c r="B426" s="1" t="s">
        <v>293</v>
      </c>
      <c r="C426" s="2" t="s">
        <v>2</v>
      </c>
      <c r="D426" s="3" t="s">
        <v>732</v>
      </c>
      <c r="E426" s="4">
        <v>108990</v>
      </c>
      <c r="F426" s="4">
        <v>88208</v>
      </c>
      <c r="G426" s="4">
        <v>104990</v>
      </c>
      <c r="H426" s="4">
        <v>84971</v>
      </c>
      <c r="I426" s="4">
        <v>4000</v>
      </c>
      <c r="J426" s="4">
        <v>3237</v>
      </c>
      <c r="K426" s="3" t="s">
        <v>680</v>
      </c>
      <c r="L426" s="3" t="s">
        <v>681</v>
      </c>
      <c r="M426" s="4" t="s">
        <v>0</v>
      </c>
      <c r="N426" s="3" t="s">
        <v>0</v>
      </c>
    </row>
    <row r="427" spans="1:14" x14ac:dyDescent="0.3">
      <c r="A427" s="1" t="s">
        <v>616</v>
      </c>
      <c r="B427" s="1" t="s">
        <v>294</v>
      </c>
      <c r="C427" s="2" t="s">
        <v>51</v>
      </c>
      <c r="D427" s="3" t="s">
        <v>732</v>
      </c>
      <c r="E427" s="4">
        <v>108990</v>
      </c>
      <c r="F427" s="4">
        <v>88208</v>
      </c>
      <c r="G427" s="4">
        <v>104990</v>
      </c>
      <c r="H427" s="4">
        <v>84971</v>
      </c>
      <c r="I427" s="4">
        <v>4000</v>
      </c>
      <c r="J427" s="4">
        <v>3237</v>
      </c>
      <c r="K427" s="3" t="s">
        <v>680</v>
      </c>
      <c r="L427" s="3" t="s">
        <v>681</v>
      </c>
      <c r="M427" s="4" t="s">
        <v>0</v>
      </c>
      <c r="N427" s="3" t="s">
        <v>0</v>
      </c>
    </row>
    <row r="428" spans="1:14" x14ac:dyDescent="0.3">
      <c r="A428" s="1" t="s">
        <v>616</v>
      </c>
      <c r="B428" s="1" t="s">
        <v>295</v>
      </c>
      <c r="C428" s="2" t="s">
        <v>666</v>
      </c>
      <c r="D428" s="3" t="s">
        <v>732</v>
      </c>
      <c r="E428" s="4">
        <v>108990</v>
      </c>
      <c r="F428" s="4">
        <v>88208</v>
      </c>
      <c r="G428" s="4">
        <v>104990</v>
      </c>
      <c r="H428" s="4">
        <v>84971</v>
      </c>
      <c r="I428" s="4">
        <v>4000</v>
      </c>
      <c r="J428" s="4">
        <v>3237</v>
      </c>
      <c r="K428" s="3" t="s">
        <v>680</v>
      </c>
      <c r="L428" s="3" t="s">
        <v>681</v>
      </c>
      <c r="M428" s="4" t="s">
        <v>0</v>
      </c>
      <c r="N428" s="3" t="s">
        <v>0</v>
      </c>
    </row>
    <row r="429" spans="1:14" x14ac:dyDescent="0.3">
      <c r="A429" s="1" t="s">
        <v>616</v>
      </c>
      <c r="B429" s="1" t="s">
        <v>296</v>
      </c>
      <c r="C429" s="2" t="s">
        <v>11</v>
      </c>
      <c r="D429" s="3" t="s">
        <v>732</v>
      </c>
      <c r="E429" s="4">
        <v>108990</v>
      </c>
      <c r="F429" s="4">
        <v>88208</v>
      </c>
      <c r="G429" s="4">
        <v>104990</v>
      </c>
      <c r="H429" s="4">
        <v>84971</v>
      </c>
      <c r="I429" s="4">
        <v>4000</v>
      </c>
      <c r="J429" s="4">
        <v>3237</v>
      </c>
      <c r="K429" s="3" t="s">
        <v>680</v>
      </c>
      <c r="L429" s="3" t="s">
        <v>681</v>
      </c>
      <c r="M429" s="4" t="s">
        <v>0</v>
      </c>
      <c r="N429" s="3" t="s">
        <v>0</v>
      </c>
    </row>
    <row r="430" spans="1:14" x14ac:dyDescent="0.3">
      <c r="A430" s="1" t="s">
        <v>616</v>
      </c>
      <c r="B430" s="1" t="s">
        <v>297</v>
      </c>
      <c r="C430" s="2" t="s">
        <v>54</v>
      </c>
      <c r="D430" s="3" t="s">
        <v>732</v>
      </c>
      <c r="E430" s="4">
        <v>108990</v>
      </c>
      <c r="F430" s="4">
        <v>88208</v>
      </c>
      <c r="G430" s="4">
        <v>104990</v>
      </c>
      <c r="H430" s="4">
        <v>84971</v>
      </c>
      <c r="I430" s="4">
        <v>4000</v>
      </c>
      <c r="J430" s="4">
        <v>3237</v>
      </c>
      <c r="K430" s="3" t="s">
        <v>680</v>
      </c>
      <c r="L430" s="3" t="s">
        <v>681</v>
      </c>
      <c r="M430" s="4" t="s">
        <v>0</v>
      </c>
      <c r="N430" s="3" t="s">
        <v>0</v>
      </c>
    </row>
    <row r="431" spans="1:14" x14ac:dyDescent="0.3">
      <c r="A431" s="1" t="s">
        <v>616</v>
      </c>
      <c r="B431" s="1" t="s">
        <v>298</v>
      </c>
      <c r="C431" s="2" t="s">
        <v>18</v>
      </c>
      <c r="D431" s="3" t="s">
        <v>732</v>
      </c>
      <c r="E431" s="4">
        <v>108990</v>
      </c>
      <c r="F431" s="4">
        <v>88208</v>
      </c>
      <c r="G431" s="4">
        <v>104990</v>
      </c>
      <c r="H431" s="4">
        <v>84971</v>
      </c>
      <c r="I431" s="4">
        <v>4000</v>
      </c>
      <c r="J431" s="4">
        <v>3237</v>
      </c>
      <c r="K431" s="3" t="s">
        <v>680</v>
      </c>
      <c r="L431" s="3" t="s">
        <v>681</v>
      </c>
      <c r="M431" s="4" t="s">
        <v>0</v>
      </c>
      <c r="N431" s="3" t="s">
        <v>0</v>
      </c>
    </row>
    <row r="432" spans="1:14" x14ac:dyDescent="0.3">
      <c r="A432" s="1" t="s">
        <v>616</v>
      </c>
      <c r="B432" s="1" t="s">
        <v>299</v>
      </c>
      <c r="C432" s="2" t="s">
        <v>2</v>
      </c>
      <c r="D432" s="3" t="s">
        <v>732</v>
      </c>
      <c r="E432" s="4">
        <v>108990</v>
      </c>
      <c r="F432" s="4">
        <v>88208</v>
      </c>
      <c r="G432" s="4">
        <v>104990</v>
      </c>
      <c r="H432" s="4">
        <v>84971</v>
      </c>
      <c r="I432" s="4">
        <v>4000</v>
      </c>
      <c r="J432" s="4">
        <v>3237</v>
      </c>
      <c r="K432" s="3" t="s">
        <v>680</v>
      </c>
      <c r="L432" s="3" t="s">
        <v>681</v>
      </c>
      <c r="M432" s="4" t="s">
        <v>0</v>
      </c>
      <c r="N432" s="3" t="s">
        <v>0</v>
      </c>
    </row>
    <row r="433" spans="1:14" x14ac:dyDescent="0.3">
      <c r="A433" s="1" t="s">
        <v>616</v>
      </c>
      <c r="B433" s="1" t="s">
        <v>300</v>
      </c>
      <c r="C433" s="2" t="s">
        <v>16</v>
      </c>
      <c r="D433" s="3" t="s">
        <v>732</v>
      </c>
      <c r="E433" s="4">
        <v>108990</v>
      </c>
      <c r="F433" s="4">
        <v>88208</v>
      </c>
      <c r="G433" s="4">
        <v>104990</v>
      </c>
      <c r="H433" s="4">
        <v>84971</v>
      </c>
      <c r="I433" s="4">
        <v>4000</v>
      </c>
      <c r="J433" s="4">
        <v>3237</v>
      </c>
      <c r="K433" s="3" t="s">
        <v>680</v>
      </c>
      <c r="L433" s="3" t="s">
        <v>681</v>
      </c>
      <c r="M433" s="4" t="s">
        <v>0</v>
      </c>
      <c r="N433" s="3" t="s">
        <v>0</v>
      </c>
    </row>
    <row r="434" spans="1:14" x14ac:dyDescent="0.3">
      <c r="A434" s="1" t="s">
        <v>616</v>
      </c>
      <c r="B434" s="1" t="s">
        <v>301</v>
      </c>
      <c r="C434" s="2" t="s">
        <v>22</v>
      </c>
      <c r="D434" s="3" t="s">
        <v>732</v>
      </c>
      <c r="E434" s="4">
        <v>108990</v>
      </c>
      <c r="F434" s="4">
        <v>88208</v>
      </c>
      <c r="G434" s="4">
        <v>104990</v>
      </c>
      <c r="H434" s="4">
        <v>84971</v>
      </c>
      <c r="I434" s="4">
        <v>4000</v>
      </c>
      <c r="J434" s="4">
        <v>3237</v>
      </c>
      <c r="K434" s="3" t="s">
        <v>680</v>
      </c>
      <c r="L434" s="3" t="s">
        <v>681</v>
      </c>
      <c r="M434" s="4" t="s">
        <v>0</v>
      </c>
      <c r="N434" s="3" t="s">
        <v>0</v>
      </c>
    </row>
    <row r="435" spans="1:14" x14ac:dyDescent="0.3">
      <c r="A435" s="1" t="s">
        <v>616</v>
      </c>
      <c r="B435" s="1" t="s">
        <v>302</v>
      </c>
      <c r="C435" s="2" t="s">
        <v>2</v>
      </c>
      <c r="D435" s="3" t="s">
        <v>732</v>
      </c>
      <c r="E435" s="4">
        <v>108990</v>
      </c>
      <c r="F435" s="4">
        <v>88208</v>
      </c>
      <c r="G435" s="4">
        <v>104990</v>
      </c>
      <c r="H435" s="4">
        <v>84971</v>
      </c>
      <c r="I435" s="4">
        <v>4000</v>
      </c>
      <c r="J435" s="4">
        <v>3237</v>
      </c>
      <c r="K435" s="3" t="s">
        <v>680</v>
      </c>
      <c r="L435" s="3" t="s">
        <v>681</v>
      </c>
      <c r="M435" s="4" t="s">
        <v>0</v>
      </c>
      <c r="N435" s="3" t="s">
        <v>0</v>
      </c>
    </row>
    <row r="436" spans="1:14" x14ac:dyDescent="0.3">
      <c r="A436" s="1" t="s">
        <v>616</v>
      </c>
      <c r="B436" s="1" t="s">
        <v>303</v>
      </c>
      <c r="C436" s="2" t="s">
        <v>2</v>
      </c>
      <c r="D436" s="3" t="s">
        <v>732</v>
      </c>
      <c r="E436" s="4">
        <v>108990</v>
      </c>
      <c r="F436" s="4">
        <v>88208</v>
      </c>
      <c r="G436" s="4">
        <v>104990</v>
      </c>
      <c r="H436" s="4">
        <v>84971</v>
      </c>
      <c r="I436" s="4">
        <v>4000</v>
      </c>
      <c r="J436" s="4">
        <v>3237</v>
      </c>
      <c r="K436" s="3" t="s">
        <v>680</v>
      </c>
      <c r="L436" s="3" t="s">
        <v>681</v>
      </c>
      <c r="M436" s="4" t="s">
        <v>0</v>
      </c>
      <c r="N436" s="3" t="s">
        <v>0</v>
      </c>
    </row>
    <row r="437" spans="1:14" x14ac:dyDescent="0.3">
      <c r="A437" s="8" t="s">
        <v>935</v>
      </c>
      <c r="B437" s="8" t="s">
        <v>882</v>
      </c>
      <c r="C437" s="8" t="s">
        <v>815</v>
      </c>
      <c r="D437" s="3" t="s">
        <v>972</v>
      </c>
      <c r="G437" s="4">
        <v>105000</v>
      </c>
      <c r="H437" s="4">
        <v>80008</v>
      </c>
      <c r="J437" s="4">
        <v>5665</v>
      </c>
      <c r="K437" s="3" t="str">
        <f>IFERROR(VLOOKUP(A437,[1]Sheet5!$C:$O,12,0),"00")</f>
        <v>01 - 29 MARCH</v>
      </c>
      <c r="L437" s="3" t="str">
        <f>IFERROR(VLOOKUP(A437,[1]Sheet5!$C:$O,13,0),"00")</f>
        <v>(NB20260315)_Mar_Sellout Support_RF _Asus_Select</v>
      </c>
    </row>
    <row r="438" spans="1:14" x14ac:dyDescent="0.3">
      <c r="A438" s="8" t="s">
        <v>935</v>
      </c>
      <c r="B438" s="8" t="s">
        <v>883</v>
      </c>
      <c r="C438" s="8" t="s">
        <v>822</v>
      </c>
      <c r="D438" s="3" t="s">
        <v>972</v>
      </c>
      <c r="G438" s="4">
        <v>105000</v>
      </c>
      <c r="H438" s="4">
        <v>80008</v>
      </c>
      <c r="J438" s="4">
        <v>5665</v>
      </c>
      <c r="K438" s="3" t="str">
        <f>IFERROR(VLOOKUP(A438,[1]Sheet5!$C:$O,12,0),"00")</f>
        <v>01 - 29 MARCH</v>
      </c>
      <c r="L438" s="3" t="str">
        <f>IFERROR(VLOOKUP(A438,[1]Sheet5!$C:$O,13,0),"00")</f>
        <v>(NB20260315)_Mar_Sellout Support_RF _Asus_Select</v>
      </c>
    </row>
    <row r="439" spans="1:14" x14ac:dyDescent="0.3">
      <c r="A439" s="8" t="s">
        <v>935</v>
      </c>
      <c r="B439" s="8" t="s">
        <v>884</v>
      </c>
      <c r="C439" s="8" t="s">
        <v>815</v>
      </c>
      <c r="D439" s="3" t="s">
        <v>972</v>
      </c>
      <c r="G439" s="4">
        <v>105000</v>
      </c>
      <c r="H439" s="4">
        <v>80008</v>
      </c>
      <c r="J439" s="4">
        <v>5665</v>
      </c>
      <c r="K439" s="3" t="str">
        <f>IFERROR(VLOOKUP(A439,[1]Sheet5!$C:$O,12,0),"00")</f>
        <v>01 - 29 MARCH</v>
      </c>
      <c r="L439" s="3" t="str">
        <f>IFERROR(VLOOKUP(A439,[1]Sheet5!$C:$O,13,0),"00")</f>
        <v>(NB20260315)_Mar_Sellout Support_RF _Asus_Select</v>
      </c>
    </row>
    <row r="440" spans="1:14" x14ac:dyDescent="0.3">
      <c r="A440" s="1" t="s">
        <v>640</v>
      </c>
      <c r="B440" s="1" t="s">
        <v>383</v>
      </c>
      <c r="C440" s="2" t="s">
        <v>31</v>
      </c>
      <c r="D440" s="3" t="s">
        <v>753</v>
      </c>
      <c r="E440" s="4">
        <v>124990</v>
      </c>
      <c r="F440" s="4">
        <v>101157</v>
      </c>
      <c r="G440" s="4">
        <v>109990</v>
      </c>
      <c r="H440" s="4">
        <v>89017</v>
      </c>
      <c r="I440" s="4">
        <v>15000</v>
      </c>
      <c r="J440" s="4">
        <v>12140</v>
      </c>
      <c r="K440" s="3" t="s">
        <v>680</v>
      </c>
      <c r="L440" s="3" t="s">
        <v>705</v>
      </c>
      <c r="M440" s="4">
        <v>1000</v>
      </c>
      <c r="N440" s="3" t="s">
        <v>942</v>
      </c>
    </row>
    <row r="441" spans="1:14" x14ac:dyDescent="0.3">
      <c r="A441" s="1" t="s">
        <v>640</v>
      </c>
      <c r="B441" s="1" t="s">
        <v>384</v>
      </c>
      <c r="C441" s="2" t="s">
        <v>11</v>
      </c>
      <c r="D441" s="3" t="s">
        <v>753</v>
      </c>
      <c r="E441" s="4">
        <v>124990</v>
      </c>
      <c r="F441" s="4">
        <v>101157</v>
      </c>
      <c r="G441" s="4">
        <v>109990</v>
      </c>
      <c r="H441" s="4">
        <v>89017</v>
      </c>
      <c r="I441" s="4">
        <v>15000</v>
      </c>
      <c r="J441" s="4">
        <v>12140</v>
      </c>
      <c r="K441" s="3" t="s">
        <v>680</v>
      </c>
      <c r="L441" s="3" t="s">
        <v>705</v>
      </c>
      <c r="M441" s="4" t="s">
        <v>0</v>
      </c>
      <c r="N441" s="3" t="s">
        <v>0</v>
      </c>
    </row>
    <row r="442" spans="1:14" x14ac:dyDescent="0.3">
      <c r="A442" s="1" t="s">
        <v>640</v>
      </c>
      <c r="B442" s="1" t="s">
        <v>385</v>
      </c>
      <c r="C442" s="2" t="s">
        <v>2</v>
      </c>
      <c r="D442" s="3" t="s">
        <v>753</v>
      </c>
      <c r="E442" s="4">
        <v>124990</v>
      </c>
      <c r="F442" s="4">
        <v>101157</v>
      </c>
      <c r="G442" s="4">
        <v>109990</v>
      </c>
      <c r="H442" s="4">
        <v>89017</v>
      </c>
      <c r="I442" s="4">
        <v>15000</v>
      </c>
      <c r="J442" s="4">
        <v>12140</v>
      </c>
      <c r="K442" s="3" t="s">
        <v>680</v>
      </c>
      <c r="L442" s="3" t="s">
        <v>705</v>
      </c>
      <c r="M442" s="4" t="s">
        <v>0</v>
      </c>
      <c r="N442" s="3" t="s">
        <v>0</v>
      </c>
    </row>
    <row r="443" spans="1:14" x14ac:dyDescent="0.3">
      <c r="A443" s="1" t="s">
        <v>640</v>
      </c>
      <c r="B443" s="1" t="s">
        <v>386</v>
      </c>
      <c r="C443" s="2" t="s">
        <v>6</v>
      </c>
      <c r="D443" s="3" t="s">
        <v>753</v>
      </c>
      <c r="E443" s="4">
        <v>124990</v>
      </c>
      <c r="F443" s="4">
        <v>101157</v>
      </c>
      <c r="G443" s="4">
        <v>109990</v>
      </c>
      <c r="H443" s="4">
        <v>89017</v>
      </c>
      <c r="I443" s="4">
        <v>15000</v>
      </c>
      <c r="J443" s="4">
        <v>12140</v>
      </c>
      <c r="K443" s="3" t="s">
        <v>680</v>
      </c>
      <c r="L443" s="3" t="s">
        <v>705</v>
      </c>
      <c r="M443" s="4" t="s">
        <v>0</v>
      </c>
      <c r="N443" s="3" t="s">
        <v>0</v>
      </c>
    </row>
    <row r="444" spans="1:14" x14ac:dyDescent="0.3">
      <c r="A444" s="1" t="s">
        <v>585</v>
      </c>
      <c r="B444" s="1" t="s">
        <v>171</v>
      </c>
      <c r="C444" s="2" t="s">
        <v>666</v>
      </c>
      <c r="D444" s="3" t="s">
        <v>791</v>
      </c>
      <c r="E444" s="4" t="s">
        <v>0</v>
      </c>
      <c r="F444" s="4" t="s">
        <v>0</v>
      </c>
      <c r="G444" s="4">
        <v>109990</v>
      </c>
      <c r="H444" s="4">
        <v>89017</v>
      </c>
      <c r="I444" s="4" t="s">
        <v>0</v>
      </c>
      <c r="J444" s="4" t="s">
        <v>0</v>
      </c>
      <c r="K444" s="3" t="s">
        <v>677</v>
      </c>
      <c r="L444" s="3" t="s">
        <v>784</v>
      </c>
      <c r="M444" s="4" t="s">
        <v>0</v>
      </c>
      <c r="N444" s="3" t="s">
        <v>0</v>
      </c>
    </row>
    <row r="445" spans="1:14" x14ac:dyDescent="0.3">
      <c r="A445" s="1" t="s">
        <v>585</v>
      </c>
      <c r="B445" s="1" t="s">
        <v>172</v>
      </c>
      <c r="C445" s="2" t="s">
        <v>2</v>
      </c>
      <c r="D445" s="3" t="s">
        <v>791</v>
      </c>
      <c r="E445" s="4" t="s">
        <v>0</v>
      </c>
      <c r="F445" s="4" t="s">
        <v>0</v>
      </c>
      <c r="G445" s="4">
        <v>109990</v>
      </c>
      <c r="H445" s="4">
        <v>89017</v>
      </c>
      <c r="I445" s="4" t="s">
        <v>0</v>
      </c>
      <c r="J445" s="4" t="s">
        <v>0</v>
      </c>
      <c r="K445" s="3" t="s">
        <v>677</v>
      </c>
      <c r="L445" s="3" t="s">
        <v>784</v>
      </c>
      <c r="M445" s="4" t="s">
        <v>0</v>
      </c>
      <c r="N445" s="3" t="s">
        <v>0</v>
      </c>
    </row>
    <row r="446" spans="1:14" x14ac:dyDescent="0.3">
      <c r="A446" s="1" t="s">
        <v>585</v>
      </c>
      <c r="B446" s="1" t="s">
        <v>173</v>
      </c>
      <c r="C446" s="2" t="s">
        <v>2</v>
      </c>
      <c r="D446" s="3" t="s">
        <v>791</v>
      </c>
      <c r="E446" s="4" t="s">
        <v>0</v>
      </c>
      <c r="F446" s="4" t="s">
        <v>0</v>
      </c>
      <c r="G446" s="4">
        <v>109990</v>
      </c>
      <c r="H446" s="4">
        <v>89017</v>
      </c>
      <c r="I446" s="4" t="s">
        <v>0</v>
      </c>
      <c r="J446" s="4" t="s">
        <v>0</v>
      </c>
      <c r="K446" s="3" t="s">
        <v>677</v>
      </c>
      <c r="L446" s="3" t="s">
        <v>784</v>
      </c>
      <c r="M446" s="4" t="s">
        <v>0</v>
      </c>
      <c r="N446" s="3" t="s">
        <v>0</v>
      </c>
    </row>
    <row r="447" spans="1:14" x14ac:dyDescent="0.3">
      <c r="A447" s="8" t="s">
        <v>936</v>
      </c>
      <c r="B447" s="8" t="s">
        <v>885</v>
      </c>
      <c r="C447" s="8" t="s">
        <v>828</v>
      </c>
      <c r="D447" s="3" t="s">
        <v>745</v>
      </c>
      <c r="G447" s="4">
        <v>110000</v>
      </c>
      <c r="H447" s="4">
        <v>85107</v>
      </c>
      <c r="J447" s="4">
        <v>566</v>
      </c>
      <c r="K447" s="3" t="str">
        <f>IFERROR(VLOOKUP(A447,[1]Sheet5!$C:$O,12,0),"00")</f>
        <v>01 - 29 MARCH</v>
      </c>
      <c r="L447" s="3" t="str">
        <f>IFERROR(VLOOKUP(A447,[1]Sheet5!$C:$O,13,0),"00")</f>
        <v>(NB20260315)_Mar_Sellout Support_RF _Asus_Select</v>
      </c>
    </row>
    <row r="448" spans="1:14" x14ac:dyDescent="0.3">
      <c r="A448" s="8" t="s">
        <v>937</v>
      </c>
      <c r="B448" s="8" t="s">
        <v>886</v>
      </c>
      <c r="C448" s="8" t="s">
        <v>822</v>
      </c>
      <c r="D448" s="3" t="s">
        <v>747</v>
      </c>
      <c r="G448" s="4">
        <v>110000</v>
      </c>
      <c r="H448" s="4">
        <v>85107</v>
      </c>
      <c r="J448" s="4">
        <v>566</v>
      </c>
      <c r="K448" s="3" t="str">
        <f>IFERROR(VLOOKUP(A448,[1]Sheet5!$C:$O,12,0),"00")</f>
        <v>01 - 29 MARCH</v>
      </c>
      <c r="L448" s="3" t="str">
        <f>IFERROR(VLOOKUP(A448,[1]Sheet5!$C:$O,13,0),"00")</f>
        <v>(NB20260315)_Mar_Sellout Support_RF _Asus_Select</v>
      </c>
    </row>
    <row r="449" spans="1:14" x14ac:dyDescent="0.3">
      <c r="A449" s="1" t="s">
        <v>621</v>
      </c>
      <c r="B449" s="1" t="s">
        <v>308</v>
      </c>
      <c r="C449" s="2" t="s">
        <v>24</v>
      </c>
      <c r="D449" s="3" t="s">
        <v>735</v>
      </c>
      <c r="E449" s="4">
        <v>127990</v>
      </c>
      <c r="F449" s="4">
        <v>103585</v>
      </c>
      <c r="G449" s="4">
        <v>114990</v>
      </c>
      <c r="H449" s="4">
        <v>93064</v>
      </c>
      <c r="I449" s="4">
        <v>13000</v>
      </c>
      <c r="J449" s="4">
        <v>10521</v>
      </c>
      <c r="K449" s="3" t="s">
        <v>680</v>
      </c>
      <c r="L449" s="3" t="s">
        <v>681</v>
      </c>
      <c r="M449" s="4" t="s">
        <v>0</v>
      </c>
      <c r="N449" s="3" t="s">
        <v>0</v>
      </c>
    </row>
    <row r="450" spans="1:14" x14ac:dyDescent="0.3">
      <c r="A450" s="1" t="s">
        <v>621</v>
      </c>
      <c r="B450" s="1" t="s">
        <v>309</v>
      </c>
      <c r="C450" s="2" t="s">
        <v>2</v>
      </c>
      <c r="D450" s="3" t="s">
        <v>735</v>
      </c>
      <c r="E450" s="4">
        <v>127990</v>
      </c>
      <c r="F450" s="4">
        <v>103585</v>
      </c>
      <c r="G450" s="4">
        <v>114990</v>
      </c>
      <c r="H450" s="4">
        <v>93064</v>
      </c>
      <c r="I450" s="4">
        <v>13000</v>
      </c>
      <c r="J450" s="4">
        <v>10521</v>
      </c>
      <c r="K450" s="3" t="s">
        <v>680</v>
      </c>
      <c r="L450" s="3" t="s">
        <v>681</v>
      </c>
      <c r="M450" s="4" t="s">
        <v>0</v>
      </c>
      <c r="N450" s="3" t="s">
        <v>0</v>
      </c>
    </row>
    <row r="451" spans="1:14" x14ac:dyDescent="0.3">
      <c r="A451" s="1" t="s">
        <v>621</v>
      </c>
      <c r="B451" s="1" t="s">
        <v>310</v>
      </c>
      <c r="C451" s="2" t="s">
        <v>18</v>
      </c>
      <c r="D451" s="3" t="s">
        <v>735</v>
      </c>
      <c r="E451" s="4">
        <v>127990</v>
      </c>
      <c r="F451" s="4">
        <v>103585</v>
      </c>
      <c r="G451" s="4">
        <v>114990</v>
      </c>
      <c r="H451" s="4">
        <v>93064</v>
      </c>
      <c r="I451" s="4">
        <v>13000</v>
      </c>
      <c r="J451" s="4">
        <v>10521</v>
      </c>
      <c r="K451" s="3" t="s">
        <v>680</v>
      </c>
      <c r="L451" s="3" t="s">
        <v>681</v>
      </c>
      <c r="M451" s="4" t="s">
        <v>0</v>
      </c>
      <c r="N451" s="3" t="s">
        <v>0</v>
      </c>
    </row>
    <row r="452" spans="1:14" x14ac:dyDescent="0.3">
      <c r="A452" s="1" t="s">
        <v>621</v>
      </c>
      <c r="B452" s="1" t="s">
        <v>311</v>
      </c>
      <c r="C452" s="2" t="s">
        <v>16</v>
      </c>
      <c r="D452" s="3" t="s">
        <v>735</v>
      </c>
      <c r="E452" s="4">
        <v>127990</v>
      </c>
      <c r="F452" s="4">
        <v>103585</v>
      </c>
      <c r="G452" s="4">
        <v>114990</v>
      </c>
      <c r="H452" s="4">
        <v>93064</v>
      </c>
      <c r="I452" s="4">
        <v>13000</v>
      </c>
      <c r="J452" s="4">
        <v>10521</v>
      </c>
      <c r="K452" s="3" t="s">
        <v>680</v>
      </c>
      <c r="L452" s="3" t="s">
        <v>681</v>
      </c>
      <c r="M452" s="4" t="s">
        <v>0</v>
      </c>
      <c r="N452" s="3" t="s">
        <v>0</v>
      </c>
    </row>
    <row r="453" spans="1:14" x14ac:dyDescent="0.3">
      <c r="A453" s="1" t="s">
        <v>623</v>
      </c>
      <c r="B453" s="1" t="s">
        <v>313</v>
      </c>
      <c r="C453" s="2" t="s">
        <v>11</v>
      </c>
      <c r="D453" s="3" t="s">
        <v>737</v>
      </c>
      <c r="E453" s="4">
        <v>127990</v>
      </c>
      <c r="F453" s="4">
        <v>103585</v>
      </c>
      <c r="G453" s="4">
        <v>114990</v>
      </c>
      <c r="H453" s="4">
        <v>93064</v>
      </c>
      <c r="I453" s="4">
        <v>13000</v>
      </c>
      <c r="J453" s="4">
        <v>10521</v>
      </c>
      <c r="K453" s="3" t="s">
        <v>680</v>
      </c>
      <c r="L453" s="3" t="s">
        <v>681</v>
      </c>
      <c r="M453" s="4" t="s">
        <v>0</v>
      </c>
      <c r="N453" s="3" t="s">
        <v>0</v>
      </c>
    </row>
    <row r="454" spans="1:14" x14ac:dyDescent="0.3">
      <c r="A454" s="1" t="s">
        <v>623</v>
      </c>
      <c r="B454" s="1" t="s">
        <v>314</v>
      </c>
      <c r="C454" s="2" t="s">
        <v>22</v>
      </c>
      <c r="D454" s="3" t="s">
        <v>737</v>
      </c>
      <c r="E454" s="4">
        <v>127990</v>
      </c>
      <c r="F454" s="4">
        <v>103585</v>
      </c>
      <c r="G454" s="4">
        <v>114990</v>
      </c>
      <c r="H454" s="4">
        <v>93064</v>
      </c>
      <c r="I454" s="4">
        <v>13000</v>
      </c>
      <c r="J454" s="4">
        <v>10521</v>
      </c>
      <c r="K454" s="3" t="s">
        <v>680</v>
      </c>
      <c r="L454" s="3" t="s">
        <v>681</v>
      </c>
      <c r="M454" s="4" t="s">
        <v>0</v>
      </c>
      <c r="N454" s="3" t="s">
        <v>0</v>
      </c>
    </row>
    <row r="455" spans="1:14" x14ac:dyDescent="0.3">
      <c r="A455" s="1" t="s">
        <v>561</v>
      </c>
      <c r="B455" s="1" t="s">
        <v>46</v>
      </c>
      <c r="C455" s="2" t="s">
        <v>2</v>
      </c>
      <c r="D455" s="3" t="s">
        <v>686</v>
      </c>
      <c r="E455" s="4">
        <v>129990</v>
      </c>
      <c r="F455" s="4">
        <v>105204</v>
      </c>
      <c r="G455" s="4">
        <v>114990</v>
      </c>
      <c r="H455" s="4">
        <v>93064</v>
      </c>
      <c r="I455" s="4">
        <v>15000</v>
      </c>
      <c r="J455" s="4">
        <v>12140</v>
      </c>
      <c r="K455" s="3" t="s">
        <v>677</v>
      </c>
      <c r="L455" s="3" t="s">
        <v>687</v>
      </c>
      <c r="M455" s="4" t="s">
        <v>0</v>
      </c>
      <c r="N455" s="3" t="s">
        <v>0</v>
      </c>
    </row>
    <row r="456" spans="1:14" x14ac:dyDescent="0.3">
      <c r="A456" s="1" t="s">
        <v>561</v>
      </c>
      <c r="B456" s="1" t="s">
        <v>47</v>
      </c>
      <c r="C456" s="2" t="s">
        <v>666</v>
      </c>
      <c r="D456" s="3" t="s">
        <v>686</v>
      </c>
      <c r="E456" s="4">
        <v>129990</v>
      </c>
      <c r="F456" s="4">
        <v>105204</v>
      </c>
      <c r="G456" s="4">
        <v>114990</v>
      </c>
      <c r="H456" s="4">
        <v>93064</v>
      </c>
      <c r="I456" s="4">
        <v>15000</v>
      </c>
      <c r="J456" s="4">
        <v>12140</v>
      </c>
      <c r="K456" s="3" t="s">
        <v>677</v>
      </c>
      <c r="L456" s="3" t="s">
        <v>687</v>
      </c>
      <c r="M456" s="4" t="s">
        <v>0</v>
      </c>
      <c r="N456" s="3" t="s">
        <v>0</v>
      </c>
    </row>
    <row r="457" spans="1:14" x14ac:dyDescent="0.3">
      <c r="A457" s="8" t="s">
        <v>938</v>
      </c>
      <c r="B457" s="8" t="s">
        <v>887</v>
      </c>
      <c r="C457" s="8" t="s">
        <v>815</v>
      </c>
      <c r="D457" s="3" t="s">
        <v>749</v>
      </c>
      <c r="G457" s="4">
        <v>115000</v>
      </c>
      <c r="H457" s="4">
        <v>85673</v>
      </c>
      <c r="J457" s="4">
        <v>5665</v>
      </c>
      <c r="K457" s="3" t="str">
        <f>IFERROR(VLOOKUP(A457,[1]Sheet5!$C:$O,12,0),"00")</f>
        <v>01 - 29 MARCH</v>
      </c>
      <c r="L457" s="3" t="str">
        <f>IFERROR(VLOOKUP(A457,[1]Sheet5!$C:$O,13,0),"00")</f>
        <v>(NB20260315)_Mar_Sellout Support_RF _Asus_Select</v>
      </c>
    </row>
    <row r="458" spans="1:14" x14ac:dyDescent="0.3">
      <c r="A458" s="8" t="s">
        <v>938</v>
      </c>
      <c r="B458" s="8" t="s">
        <v>888</v>
      </c>
      <c r="C458" s="8" t="s">
        <v>815</v>
      </c>
      <c r="D458" s="3" t="s">
        <v>749</v>
      </c>
      <c r="G458" s="4">
        <v>115000</v>
      </c>
      <c r="H458" s="4">
        <v>85673</v>
      </c>
      <c r="J458" s="4">
        <v>5665</v>
      </c>
      <c r="K458" s="3" t="str">
        <f>IFERROR(VLOOKUP(A458,[1]Sheet5!$C:$O,12,0),"00")</f>
        <v>01 - 29 MARCH</v>
      </c>
      <c r="L458" s="3" t="str">
        <f>IFERROR(VLOOKUP(A458,[1]Sheet5!$C:$O,13,0),"00")</f>
        <v>(NB20260315)_Mar_Sellout Support_RF _Asus_Select</v>
      </c>
    </row>
    <row r="459" spans="1:14" x14ac:dyDescent="0.3">
      <c r="A459" s="1" t="s">
        <v>586</v>
      </c>
      <c r="B459" s="1" t="s">
        <v>174</v>
      </c>
      <c r="C459" s="2" t="s">
        <v>666</v>
      </c>
      <c r="D459" s="3" t="s">
        <v>792</v>
      </c>
      <c r="E459" s="4" t="s">
        <v>0</v>
      </c>
      <c r="F459" s="4" t="s">
        <v>0</v>
      </c>
      <c r="G459" s="4">
        <v>119990</v>
      </c>
      <c r="H459" s="4">
        <v>97111</v>
      </c>
      <c r="I459" s="4" t="s">
        <v>0</v>
      </c>
      <c r="J459" s="4" t="s">
        <v>0</v>
      </c>
      <c r="K459" s="3" t="s">
        <v>677</v>
      </c>
      <c r="L459" s="3" t="s">
        <v>784</v>
      </c>
      <c r="M459" s="4" t="s">
        <v>0</v>
      </c>
      <c r="N459" s="3" t="s">
        <v>0</v>
      </c>
    </row>
    <row r="460" spans="1:14" x14ac:dyDescent="0.3">
      <c r="A460" s="1" t="s">
        <v>631</v>
      </c>
      <c r="B460" s="1" t="s">
        <v>343</v>
      </c>
      <c r="C460" s="2" t="s">
        <v>2</v>
      </c>
      <c r="D460" s="3" t="s">
        <v>793</v>
      </c>
      <c r="E460" s="4" t="s">
        <v>0</v>
      </c>
      <c r="F460" s="4" t="s">
        <v>0</v>
      </c>
      <c r="G460" s="4">
        <v>124990</v>
      </c>
      <c r="H460" s="4">
        <v>101157.16101694915</v>
      </c>
      <c r="I460" s="4" t="s">
        <v>0</v>
      </c>
      <c r="J460" s="4" t="s">
        <v>0</v>
      </c>
      <c r="K460" s="3" t="s">
        <v>677</v>
      </c>
      <c r="L460" s="3" t="s">
        <v>784</v>
      </c>
      <c r="M460" s="4" t="s">
        <v>0</v>
      </c>
      <c r="N460" s="3" t="s">
        <v>0</v>
      </c>
    </row>
    <row r="461" spans="1:14" x14ac:dyDescent="0.3">
      <c r="A461" s="1" t="s">
        <v>624</v>
      </c>
      <c r="B461" s="1" t="s">
        <v>315</v>
      </c>
      <c r="C461" s="2" t="s">
        <v>16</v>
      </c>
      <c r="D461" s="3" t="s">
        <v>738</v>
      </c>
      <c r="E461" s="4">
        <v>137990</v>
      </c>
      <c r="F461" s="4">
        <v>111678</v>
      </c>
      <c r="G461" s="4">
        <v>125990</v>
      </c>
      <c r="H461" s="4">
        <v>101966</v>
      </c>
      <c r="I461" s="4">
        <v>12000</v>
      </c>
      <c r="J461" s="4">
        <v>9712</v>
      </c>
      <c r="K461" s="3" t="s">
        <v>680</v>
      </c>
      <c r="L461" s="3" t="s">
        <v>681</v>
      </c>
      <c r="M461" s="4">
        <v>2000</v>
      </c>
      <c r="N461" s="3" t="s">
        <v>942</v>
      </c>
    </row>
    <row r="462" spans="1:14" x14ac:dyDescent="0.3">
      <c r="A462" s="1" t="s">
        <v>624</v>
      </c>
      <c r="B462" s="1" t="s">
        <v>316</v>
      </c>
      <c r="C462" s="2" t="s">
        <v>2</v>
      </c>
      <c r="D462" s="3" t="s">
        <v>738</v>
      </c>
      <c r="E462" s="4">
        <v>137990</v>
      </c>
      <c r="F462" s="4">
        <v>111678</v>
      </c>
      <c r="G462" s="4">
        <v>125990</v>
      </c>
      <c r="H462" s="4">
        <v>101966</v>
      </c>
      <c r="I462" s="4">
        <v>12000</v>
      </c>
      <c r="J462" s="4">
        <v>9712</v>
      </c>
      <c r="K462" s="3" t="s">
        <v>680</v>
      </c>
      <c r="L462" s="3" t="s">
        <v>681</v>
      </c>
      <c r="M462" s="4">
        <v>2000</v>
      </c>
      <c r="N462" s="3" t="s">
        <v>942</v>
      </c>
    </row>
    <row r="463" spans="1:14" x14ac:dyDescent="0.3">
      <c r="A463" s="1" t="s">
        <v>624</v>
      </c>
      <c r="B463" s="1" t="s">
        <v>317</v>
      </c>
      <c r="C463" s="2" t="s">
        <v>18</v>
      </c>
      <c r="D463" s="3" t="s">
        <v>738</v>
      </c>
      <c r="E463" s="4">
        <v>137990</v>
      </c>
      <c r="F463" s="4">
        <v>111678</v>
      </c>
      <c r="G463" s="4">
        <v>125990</v>
      </c>
      <c r="H463" s="4">
        <v>101966</v>
      </c>
      <c r="I463" s="4">
        <v>12000</v>
      </c>
      <c r="J463" s="4">
        <v>9712</v>
      </c>
      <c r="K463" s="3" t="s">
        <v>680</v>
      </c>
      <c r="L463" s="3" t="s">
        <v>681</v>
      </c>
      <c r="M463" s="4" t="s">
        <v>0</v>
      </c>
      <c r="N463" s="3" t="s">
        <v>0</v>
      </c>
    </row>
    <row r="464" spans="1:14" x14ac:dyDescent="0.3">
      <c r="A464" s="1" t="s">
        <v>624</v>
      </c>
      <c r="B464" s="1" t="s">
        <v>318</v>
      </c>
      <c r="C464" s="2" t="s">
        <v>51</v>
      </c>
      <c r="D464" s="3" t="s">
        <v>738</v>
      </c>
      <c r="E464" s="4">
        <v>137990</v>
      </c>
      <c r="F464" s="4">
        <v>111678</v>
      </c>
      <c r="G464" s="4">
        <v>125990</v>
      </c>
      <c r="H464" s="4">
        <v>101966</v>
      </c>
      <c r="I464" s="4">
        <v>12000</v>
      </c>
      <c r="J464" s="4">
        <v>9712</v>
      </c>
      <c r="K464" s="3" t="s">
        <v>680</v>
      </c>
      <c r="L464" s="3" t="s">
        <v>681</v>
      </c>
      <c r="M464" s="4" t="s">
        <v>0</v>
      </c>
      <c r="N464" s="3" t="s">
        <v>0</v>
      </c>
    </row>
    <row r="465" spans="1:14" x14ac:dyDescent="0.3">
      <c r="A465" s="1" t="s">
        <v>624</v>
      </c>
      <c r="B465" s="1" t="s">
        <v>319</v>
      </c>
      <c r="C465" s="2" t="s">
        <v>2</v>
      </c>
      <c r="D465" s="3" t="s">
        <v>738</v>
      </c>
      <c r="E465" s="4">
        <v>137990</v>
      </c>
      <c r="F465" s="4">
        <v>111678</v>
      </c>
      <c r="G465" s="4">
        <v>125990</v>
      </c>
      <c r="H465" s="4">
        <v>101966</v>
      </c>
      <c r="I465" s="4">
        <v>12000</v>
      </c>
      <c r="J465" s="4">
        <v>9712</v>
      </c>
      <c r="K465" s="3" t="s">
        <v>680</v>
      </c>
      <c r="L465" s="3" t="s">
        <v>681</v>
      </c>
      <c r="M465" s="4" t="s">
        <v>0</v>
      </c>
      <c r="N465" s="3" t="s">
        <v>0</v>
      </c>
    </row>
    <row r="466" spans="1:14" x14ac:dyDescent="0.3">
      <c r="A466" s="1" t="s">
        <v>665</v>
      </c>
      <c r="B466" s="1" t="s">
        <v>348</v>
      </c>
      <c r="C466" s="2" t="s">
        <v>24</v>
      </c>
      <c r="D466" s="3" t="s">
        <v>746</v>
      </c>
      <c r="E466" s="4">
        <v>134990</v>
      </c>
      <c r="F466" s="4">
        <v>109250</v>
      </c>
      <c r="G466" s="4">
        <v>130990</v>
      </c>
      <c r="H466" s="4">
        <v>106013</v>
      </c>
      <c r="I466" s="4">
        <v>4000</v>
      </c>
      <c r="J466" s="4">
        <v>3237</v>
      </c>
      <c r="K466" s="3" t="s">
        <v>680</v>
      </c>
      <c r="L466" s="3" t="s">
        <v>681</v>
      </c>
      <c r="M466" s="4" t="s">
        <v>0</v>
      </c>
      <c r="N466" s="3" t="s">
        <v>0</v>
      </c>
    </row>
    <row r="467" spans="1:14" x14ac:dyDescent="0.3">
      <c r="A467" s="1" t="s">
        <v>665</v>
      </c>
      <c r="B467" s="1" t="s">
        <v>349</v>
      </c>
      <c r="C467" s="2" t="s">
        <v>2</v>
      </c>
      <c r="D467" s="3" t="s">
        <v>746</v>
      </c>
      <c r="E467" s="4">
        <v>134990</v>
      </c>
      <c r="F467" s="4">
        <v>109250</v>
      </c>
      <c r="G467" s="4">
        <v>130990</v>
      </c>
      <c r="H467" s="4">
        <v>106013</v>
      </c>
      <c r="I467" s="4">
        <v>4000</v>
      </c>
      <c r="J467" s="4">
        <v>3237</v>
      </c>
      <c r="K467" s="3" t="s">
        <v>680</v>
      </c>
      <c r="L467" s="3" t="s">
        <v>681</v>
      </c>
      <c r="M467" s="4" t="s">
        <v>0</v>
      </c>
      <c r="N467" s="3" t="s">
        <v>0</v>
      </c>
    </row>
    <row r="468" spans="1:14" x14ac:dyDescent="0.3">
      <c r="A468" s="1" t="s">
        <v>663</v>
      </c>
      <c r="B468" s="1" t="s">
        <v>3</v>
      </c>
      <c r="C468" s="2" t="s">
        <v>4</v>
      </c>
      <c r="D468" s="3" t="s">
        <v>717</v>
      </c>
      <c r="E468" s="4">
        <v>136990</v>
      </c>
      <c r="F468" s="4">
        <v>112610</v>
      </c>
      <c r="G468" s="4">
        <v>130990</v>
      </c>
      <c r="H468" s="4">
        <v>107678</v>
      </c>
      <c r="I468" s="4">
        <v>6000</v>
      </c>
      <c r="J468" s="4">
        <v>4932</v>
      </c>
      <c r="K468" s="3" t="s">
        <v>680</v>
      </c>
      <c r="L468" s="3" t="s">
        <v>718</v>
      </c>
      <c r="M468" s="4" t="s">
        <v>0</v>
      </c>
      <c r="N468" s="3" t="s">
        <v>0</v>
      </c>
    </row>
    <row r="469" spans="1:14" x14ac:dyDescent="0.3">
      <c r="A469" s="1" t="s">
        <v>632</v>
      </c>
      <c r="B469" s="1" t="s">
        <v>344</v>
      </c>
      <c r="C469" s="2" t="s">
        <v>6</v>
      </c>
      <c r="D469" s="3" t="s">
        <v>794</v>
      </c>
      <c r="E469" s="4" t="s">
        <v>0</v>
      </c>
      <c r="F469" s="4" t="s">
        <v>0</v>
      </c>
      <c r="G469" s="4">
        <v>134990</v>
      </c>
      <c r="H469" s="4">
        <v>109250.3813559322</v>
      </c>
      <c r="I469" s="4" t="s">
        <v>0</v>
      </c>
      <c r="J469" s="4" t="s">
        <v>0</v>
      </c>
      <c r="K469" s="3" t="s">
        <v>677</v>
      </c>
      <c r="L469" s="3" t="s">
        <v>784</v>
      </c>
      <c r="M469" s="4" t="s">
        <v>0</v>
      </c>
      <c r="N469" s="3" t="s">
        <v>0</v>
      </c>
    </row>
    <row r="470" spans="1:14" x14ac:dyDescent="0.3">
      <c r="A470" s="1" t="s">
        <v>589</v>
      </c>
      <c r="B470" s="1" t="s">
        <v>190</v>
      </c>
      <c r="C470" s="2" t="s">
        <v>13</v>
      </c>
      <c r="D470" s="3" t="s">
        <v>795</v>
      </c>
      <c r="E470" s="4" t="s">
        <v>0</v>
      </c>
      <c r="F470" s="4" t="s">
        <v>0</v>
      </c>
      <c r="G470" s="4">
        <v>135990</v>
      </c>
      <c r="H470" s="4">
        <v>110060</v>
      </c>
      <c r="I470" s="4" t="s">
        <v>0</v>
      </c>
      <c r="J470" s="4" t="s">
        <v>0</v>
      </c>
      <c r="K470" s="3" t="s">
        <v>677</v>
      </c>
      <c r="L470" s="3" t="s">
        <v>784</v>
      </c>
      <c r="M470" s="4" t="s">
        <v>0</v>
      </c>
      <c r="N470" s="3" t="s">
        <v>0</v>
      </c>
    </row>
    <row r="471" spans="1:14" x14ac:dyDescent="0.3">
      <c r="A471" s="1" t="s">
        <v>566</v>
      </c>
      <c r="B471" s="1" t="s">
        <v>62</v>
      </c>
      <c r="C471" s="2" t="s">
        <v>2</v>
      </c>
      <c r="D471" s="3" t="s">
        <v>693</v>
      </c>
      <c r="E471" s="4">
        <v>144990</v>
      </c>
      <c r="F471" s="4">
        <v>117344</v>
      </c>
      <c r="G471" s="4">
        <v>139990</v>
      </c>
      <c r="H471" s="4">
        <v>113297</v>
      </c>
      <c r="I471" s="4">
        <v>5000</v>
      </c>
      <c r="J471" s="4">
        <v>4047</v>
      </c>
      <c r="K471" s="3" t="s">
        <v>680</v>
      </c>
      <c r="L471" s="3" t="s">
        <v>689</v>
      </c>
      <c r="M471" s="4" t="s">
        <v>0</v>
      </c>
      <c r="N471" s="3" t="s">
        <v>0</v>
      </c>
    </row>
    <row r="472" spans="1:14" x14ac:dyDescent="0.3">
      <c r="A472" s="1" t="s">
        <v>566</v>
      </c>
      <c r="B472" s="1" t="s">
        <v>63</v>
      </c>
      <c r="C472" s="2" t="s">
        <v>2</v>
      </c>
      <c r="D472" s="3" t="s">
        <v>693</v>
      </c>
      <c r="E472" s="4">
        <v>144990</v>
      </c>
      <c r="F472" s="4">
        <v>117344</v>
      </c>
      <c r="G472" s="4">
        <v>139990</v>
      </c>
      <c r="H472" s="4">
        <v>113297</v>
      </c>
      <c r="I472" s="4">
        <v>5000</v>
      </c>
      <c r="J472" s="4">
        <v>4047</v>
      </c>
      <c r="K472" s="3" t="s">
        <v>680</v>
      </c>
      <c r="L472" s="3" t="s">
        <v>689</v>
      </c>
      <c r="M472" s="4" t="s">
        <v>0</v>
      </c>
      <c r="N472" s="3" t="s">
        <v>0</v>
      </c>
    </row>
    <row r="473" spans="1:14" x14ac:dyDescent="0.3">
      <c r="A473" s="1" t="s">
        <v>569</v>
      </c>
      <c r="B473" s="1" t="s">
        <v>92</v>
      </c>
      <c r="C473" s="2" t="s">
        <v>18</v>
      </c>
      <c r="D473" s="3" t="s">
        <v>696</v>
      </c>
      <c r="E473" s="4">
        <v>149990</v>
      </c>
      <c r="F473" s="4">
        <v>121390</v>
      </c>
      <c r="G473" s="4">
        <v>144990</v>
      </c>
      <c r="H473" s="4">
        <v>117344</v>
      </c>
      <c r="I473" s="4">
        <v>5000</v>
      </c>
      <c r="J473" s="4">
        <v>4046</v>
      </c>
      <c r="K473" s="3" t="s">
        <v>680</v>
      </c>
      <c r="L473" s="3" t="s">
        <v>689</v>
      </c>
      <c r="M473" s="4" t="s">
        <v>0</v>
      </c>
      <c r="N473" s="3" t="s">
        <v>0</v>
      </c>
    </row>
    <row r="474" spans="1:14" x14ac:dyDescent="0.3">
      <c r="A474" s="1" t="s">
        <v>569</v>
      </c>
      <c r="B474" s="1" t="s">
        <v>93</v>
      </c>
      <c r="C474" s="2" t="s">
        <v>666</v>
      </c>
      <c r="D474" s="3" t="s">
        <v>696</v>
      </c>
      <c r="E474" s="4">
        <v>149990</v>
      </c>
      <c r="F474" s="4">
        <v>121390</v>
      </c>
      <c r="G474" s="4">
        <v>144990</v>
      </c>
      <c r="H474" s="4">
        <v>117344</v>
      </c>
      <c r="I474" s="4">
        <v>5000</v>
      </c>
      <c r="J474" s="4">
        <v>4046</v>
      </c>
      <c r="K474" s="3" t="s">
        <v>680</v>
      </c>
      <c r="L474" s="3" t="s">
        <v>689</v>
      </c>
      <c r="M474" s="4" t="s">
        <v>0</v>
      </c>
      <c r="N474" s="3" t="s">
        <v>0</v>
      </c>
    </row>
    <row r="475" spans="1:14" x14ac:dyDescent="0.3">
      <c r="A475" s="1" t="s">
        <v>569</v>
      </c>
      <c r="B475" s="1" t="s">
        <v>94</v>
      </c>
      <c r="C475" s="2" t="s">
        <v>2</v>
      </c>
      <c r="D475" s="3" t="s">
        <v>696</v>
      </c>
      <c r="E475" s="4">
        <v>149990</v>
      </c>
      <c r="F475" s="4">
        <v>121390</v>
      </c>
      <c r="G475" s="4">
        <v>144990</v>
      </c>
      <c r="H475" s="4">
        <v>117344</v>
      </c>
      <c r="I475" s="4">
        <v>5000</v>
      </c>
      <c r="J475" s="4">
        <v>4046</v>
      </c>
      <c r="K475" s="3" t="s">
        <v>680</v>
      </c>
      <c r="L475" s="3" t="s">
        <v>689</v>
      </c>
      <c r="M475" s="4" t="s">
        <v>0</v>
      </c>
      <c r="N475" s="3" t="s">
        <v>0</v>
      </c>
    </row>
    <row r="476" spans="1:14" x14ac:dyDescent="0.3">
      <c r="A476" s="1" t="s">
        <v>569</v>
      </c>
      <c r="B476" s="1" t="s">
        <v>95</v>
      </c>
      <c r="C476" s="2" t="s">
        <v>2</v>
      </c>
      <c r="D476" s="3" t="s">
        <v>696</v>
      </c>
      <c r="E476" s="4">
        <v>149990</v>
      </c>
      <c r="F476" s="4">
        <v>121390</v>
      </c>
      <c r="G476" s="4">
        <v>144990</v>
      </c>
      <c r="H476" s="4">
        <v>117344</v>
      </c>
      <c r="I476" s="4">
        <v>5000</v>
      </c>
      <c r="J476" s="4">
        <v>4046</v>
      </c>
      <c r="K476" s="3" t="s">
        <v>680</v>
      </c>
      <c r="L476" s="3" t="s">
        <v>689</v>
      </c>
      <c r="M476" s="4" t="s">
        <v>0</v>
      </c>
      <c r="N476" s="3" t="s">
        <v>0</v>
      </c>
    </row>
    <row r="477" spans="1:14" x14ac:dyDescent="0.3">
      <c r="A477" s="1" t="s">
        <v>569</v>
      </c>
      <c r="B477" s="1" t="s">
        <v>96</v>
      </c>
      <c r="C477" s="2" t="s">
        <v>2</v>
      </c>
      <c r="D477" s="3" t="s">
        <v>696</v>
      </c>
      <c r="E477" s="4">
        <v>149990</v>
      </c>
      <c r="F477" s="4">
        <v>121390</v>
      </c>
      <c r="G477" s="4">
        <v>144990</v>
      </c>
      <c r="H477" s="4">
        <v>117344</v>
      </c>
      <c r="I477" s="4">
        <v>5000</v>
      </c>
      <c r="J477" s="4">
        <v>4046</v>
      </c>
      <c r="K477" s="3" t="s">
        <v>680</v>
      </c>
      <c r="L477" s="3" t="s">
        <v>689</v>
      </c>
      <c r="M477" s="4" t="s">
        <v>0</v>
      </c>
      <c r="N477" s="3" t="s">
        <v>0</v>
      </c>
    </row>
    <row r="478" spans="1:14" x14ac:dyDescent="0.3">
      <c r="A478" s="1" t="s">
        <v>634</v>
      </c>
      <c r="B478" s="1" t="s">
        <v>350</v>
      </c>
      <c r="C478" s="2" t="s">
        <v>18</v>
      </c>
      <c r="D478" s="3" t="s">
        <v>747</v>
      </c>
      <c r="E478" s="4">
        <v>149990</v>
      </c>
      <c r="F478" s="4">
        <v>121390</v>
      </c>
      <c r="G478" s="4">
        <v>148990</v>
      </c>
      <c r="H478" s="4">
        <v>120581</v>
      </c>
      <c r="I478" s="4">
        <v>1000</v>
      </c>
      <c r="J478" s="4">
        <v>809</v>
      </c>
      <c r="K478" s="3" t="s">
        <v>680</v>
      </c>
      <c r="L478" s="3" t="s">
        <v>681</v>
      </c>
      <c r="M478" s="4" t="s">
        <v>0</v>
      </c>
      <c r="N478" s="3" t="s">
        <v>0</v>
      </c>
    </row>
    <row r="479" spans="1:14" x14ac:dyDescent="0.3">
      <c r="A479" s="1" t="s">
        <v>634</v>
      </c>
      <c r="B479" s="1" t="s">
        <v>351</v>
      </c>
      <c r="C479" s="2" t="s">
        <v>2</v>
      </c>
      <c r="D479" s="3" t="s">
        <v>747</v>
      </c>
      <c r="E479" s="4">
        <v>149990</v>
      </c>
      <c r="F479" s="4">
        <v>121390</v>
      </c>
      <c r="G479" s="4">
        <v>148990</v>
      </c>
      <c r="H479" s="4">
        <v>120581</v>
      </c>
      <c r="I479" s="4">
        <v>1000</v>
      </c>
      <c r="J479" s="4">
        <v>809</v>
      </c>
      <c r="K479" s="3" t="s">
        <v>680</v>
      </c>
      <c r="L479" s="3" t="s">
        <v>681</v>
      </c>
      <c r="M479" s="4">
        <v>2500</v>
      </c>
      <c r="N479" s="3" t="s">
        <v>942</v>
      </c>
    </row>
    <row r="480" spans="1:14" x14ac:dyDescent="0.3">
      <c r="A480" s="1" t="s">
        <v>634</v>
      </c>
      <c r="B480" s="1" t="s">
        <v>352</v>
      </c>
      <c r="C480" s="2" t="s">
        <v>22</v>
      </c>
      <c r="D480" s="3" t="s">
        <v>747</v>
      </c>
      <c r="E480" s="4">
        <v>149990</v>
      </c>
      <c r="F480" s="4">
        <v>121390</v>
      </c>
      <c r="G480" s="4">
        <v>148990</v>
      </c>
      <c r="H480" s="4">
        <v>120581</v>
      </c>
      <c r="I480" s="4">
        <v>1000</v>
      </c>
      <c r="J480" s="4">
        <v>809</v>
      </c>
      <c r="K480" s="3" t="s">
        <v>680</v>
      </c>
      <c r="L480" s="3" t="s">
        <v>681</v>
      </c>
      <c r="M480" s="4" t="s">
        <v>0</v>
      </c>
      <c r="N480" s="3" t="s">
        <v>0</v>
      </c>
    </row>
    <row r="481" spans="1:14" x14ac:dyDescent="0.3">
      <c r="A481" s="1" t="s">
        <v>634</v>
      </c>
      <c r="B481" s="1" t="s">
        <v>353</v>
      </c>
      <c r="C481" s="2" t="s">
        <v>666</v>
      </c>
      <c r="D481" s="3" t="s">
        <v>747</v>
      </c>
      <c r="E481" s="4">
        <v>149990</v>
      </c>
      <c r="F481" s="4">
        <v>121390</v>
      </c>
      <c r="G481" s="4">
        <v>148990</v>
      </c>
      <c r="H481" s="4">
        <v>120581</v>
      </c>
      <c r="I481" s="4">
        <v>1000</v>
      </c>
      <c r="J481" s="4">
        <v>809</v>
      </c>
      <c r="K481" s="3" t="s">
        <v>680</v>
      </c>
      <c r="L481" s="3" t="s">
        <v>681</v>
      </c>
      <c r="M481" s="4" t="s">
        <v>0</v>
      </c>
      <c r="N481" s="3" t="s">
        <v>0</v>
      </c>
    </row>
    <row r="482" spans="1:14" x14ac:dyDescent="0.3">
      <c r="A482" s="1" t="s">
        <v>634</v>
      </c>
      <c r="B482" s="1" t="s">
        <v>354</v>
      </c>
      <c r="C482" s="2" t="s">
        <v>2</v>
      </c>
      <c r="D482" s="3" t="s">
        <v>747</v>
      </c>
      <c r="E482" s="4">
        <v>149990</v>
      </c>
      <c r="F482" s="4">
        <v>121390</v>
      </c>
      <c r="G482" s="4">
        <v>148990</v>
      </c>
      <c r="H482" s="4">
        <v>120581</v>
      </c>
      <c r="I482" s="4">
        <v>1000</v>
      </c>
      <c r="J482" s="4">
        <v>809</v>
      </c>
      <c r="K482" s="3" t="s">
        <v>680</v>
      </c>
      <c r="L482" s="3" t="s">
        <v>681</v>
      </c>
      <c r="M482" s="4" t="s">
        <v>0</v>
      </c>
      <c r="N482" s="3" t="s">
        <v>0</v>
      </c>
    </row>
    <row r="483" spans="1:14" x14ac:dyDescent="0.3">
      <c r="A483" s="1" t="s">
        <v>634</v>
      </c>
      <c r="B483" s="1" t="s">
        <v>355</v>
      </c>
      <c r="C483" s="2" t="s">
        <v>13</v>
      </c>
      <c r="D483" s="3" t="s">
        <v>747</v>
      </c>
      <c r="E483" s="4">
        <v>149990</v>
      </c>
      <c r="F483" s="4">
        <v>121390</v>
      </c>
      <c r="G483" s="4">
        <v>148990</v>
      </c>
      <c r="H483" s="4">
        <v>120581</v>
      </c>
      <c r="I483" s="4">
        <v>1000</v>
      </c>
      <c r="J483" s="4">
        <v>809</v>
      </c>
      <c r="K483" s="3" t="s">
        <v>680</v>
      </c>
      <c r="L483" s="3" t="s">
        <v>681</v>
      </c>
      <c r="M483" s="4" t="s">
        <v>0</v>
      </c>
      <c r="N483" s="3" t="s">
        <v>0</v>
      </c>
    </row>
    <row r="484" spans="1:14" x14ac:dyDescent="0.3">
      <c r="A484" s="1" t="s">
        <v>634</v>
      </c>
      <c r="B484" s="1" t="s">
        <v>356</v>
      </c>
      <c r="C484" s="2" t="s">
        <v>18</v>
      </c>
      <c r="D484" s="3" t="s">
        <v>747</v>
      </c>
      <c r="E484" s="4">
        <v>149990</v>
      </c>
      <c r="F484" s="4">
        <v>121390</v>
      </c>
      <c r="G484" s="4">
        <v>148990</v>
      </c>
      <c r="H484" s="4">
        <v>120581</v>
      </c>
      <c r="I484" s="4">
        <v>1000</v>
      </c>
      <c r="J484" s="4">
        <v>809</v>
      </c>
      <c r="K484" s="3" t="s">
        <v>680</v>
      </c>
      <c r="L484" s="3" t="s">
        <v>681</v>
      </c>
      <c r="M484" s="4" t="s">
        <v>0</v>
      </c>
      <c r="N484" s="3" t="s">
        <v>0</v>
      </c>
    </row>
    <row r="485" spans="1:14" x14ac:dyDescent="0.3">
      <c r="A485" s="1" t="s">
        <v>634</v>
      </c>
      <c r="B485" s="1" t="s">
        <v>357</v>
      </c>
      <c r="C485" s="2" t="s">
        <v>666</v>
      </c>
      <c r="D485" s="3" t="s">
        <v>747</v>
      </c>
      <c r="E485" s="4">
        <v>149990</v>
      </c>
      <c r="F485" s="4">
        <v>121390</v>
      </c>
      <c r="G485" s="4">
        <v>148990</v>
      </c>
      <c r="H485" s="4">
        <v>120581</v>
      </c>
      <c r="I485" s="4">
        <v>1000</v>
      </c>
      <c r="J485" s="4">
        <v>809</v>
      </c>
      <c r="K485" s="3" t="s">
        <v>680</v>
      </c>
      <c r="L485" s="3" t="s">
        <v>681</v>
      </c>
      <c r="M485" s="4" t="s">
        <v>0</v>
      </c>
      <c r="N485" s="3" t="s">
        <v>0</v>
      </c>
    </row>
    <row r="486" spans="1:14" x14ac:dyDescent="0.3">
      <c r="A486" s="1" t="s">
        <v>634</v>
      </c>
      <c r="B486" s="1" t="s">
        <v>358</v>
      </c>
      <c r="C486" s="2" t="s">
        <v>2</v>
      </c>
      <c r="D486" s="3" t="s">
        <v>747</v>
      </c>
      <c r="E486" s="4">
        <v>149990</v>
      </c>
      <c r="F486" s="4">
        <v>121390</v>
      </c>
      <c r="G486" s="4">
        <v>148990</v>
      </c>
      <c r="H486" s="4">
        <v>120581</v>
      </c>
      <c r="I486" s="4">
        <v>1000</v>
      </c>
      <c r="J486" s="4">
        <v>809</v>
      </c>
      <c r="K486" s="3" t="s">
        <v>680</v>
      </c>
      <c r="L486" s="3" t="s">
        <v>681</v>
      </c>
      <c r="M486" s="4">
        <v>2500</v>
      </c>
      <c r="N486" s="3" t="s">
        <v>942</v>
      </c>
    </row>
    <row r="487" spans="1:14" x14ac:dyDescent="0.3">
      <c r="A487" s="1" t="s">
        <v>634</v>
      </c>
      <c r="B487" s="1" t="s">
        <v>359</v>
      </c>
      <c r="C487" s="2" t="s">
        <v>11</v>
      </c>
      <c r="D487" s="3" t="s">
        <v>747</v>
      </c>
      <c r="E487" s="4">
        <v>149990</v>
      </c>
      <c r="F487" s="4">
        <v>121390</v>
      </c>
      <c r="G487" s="4">
        <v>148990</v>
      </c>
      <c r="H487" s="4">
        <v>120581</v>
      </c>
      <c r="I487" s="4">
        <v>1000</v>
      </c>
      <c r="J487" s="4">
        <v>809</v>
      </c>
      <c r="K487" s="3" t="s">
        <v>680</v>
      </c>
      <c r="L487" s="3" t="s">
        <v>681</v>
      </c>
      <c r="M487" s="4" t="s">
        <v>0</v>
      </c>
      <c r="N487" s="3" t="s">
        <v>0</v>
      </c>
    </row>
    <row r="488" spans="1:14" x14ac:dyDescent="0.3">
      <c r="A488" s="1" t="s">
        <v>634</v>
      </c>
      <c r="B488" s="1" t="s">
        <v>360</v>
      </c>
      <c r="C488" s="2" t="s">
        <v>6</v>
      </c>
      <c r="D488" s="3" t="s">
        <v>747</v>
      </c>
      <c r="E488" s="4">
        <v>149990</v>
      </c>
      <c r="F488" s="4">
        <v>121390</v>
      </c>
      <c r="G488" s="4">
        <v>148990</v>
      </c>
      <c r="H488" s="4">
        <v>120581</v>
      </c>
      <c r="I488" s="4">
        <v>1000</v>
      </c>
      <c r="J488" s="4">
        <v>809</v>
      </c>
      <c r="K488" s="3" t="s">
        <v>680</v>
      </c>
      <c r="L488" s="3" t="s">
        <v>681</v>
      </c>
      <c r="M488" s="4" t="s">
        <v>0</v>
      </c>
      <c r="N488" s="3" t="s">
        <v>0</v>
      </c>
    </row>
    <row r="489" spans="1:14" x14ac:dyDescent="0.3">
      <c r="A489" s="1" t="s">
        <v>634</v>
      </c>
      <c r="B489" s="1" t="s">
        <v>361</v>
      </c>
      <c r="C489" s="2" t="s">
        <v>2</v>
      </c>
      <c r="D489" s="3" t="s">
        <v>747</v>
      </c>
      <c r="E489" s="4">
        <v>149990</v>
      </c>
      <c r="F489" s="4">
        <v>121390</v>
      </c>
      <c r="G489" s="4">
        <v>148990</v>
      </c>
      <c r="H489" s="4">
        <v>120581</v>
      </c>
      <c r="I489" s="4">
        <v>1000</v>
      </c>
      <c r="J489" s="4">
        <v>809</v>
      </c>
      <c r="K489" s="3" t="s">
        <v>680</v>
      </c>
      <c r="L489" s="3" t="s">
        <v>681</v>
      </c>
      <c r="M489" s="4" t="s">
        <v>0</v>
      </c>
      <c r="N489" s="3" t="s">
        <v>0</v>
      </c>
    </row>
    <row r="490" spans="1:14" x14ac:dyDescent="0.3">
      <c r="A490" s="1" t="s">
        <v>634</v>
      </c>
      <c r="B490" s="1" t="s">
        <v>362</v>
      </c>
      <c r="C490" s="2" t="s">
        <v>54</v>
      </c>
      <c r="D490" s="3" t="s">
        <v>747</v>
      </c>
      <c r="E490" s="4">
        <v>149990</v>
      </c>
      <c r="F490" s="4">
        <v>121390</v>
      </c>
      <c r="G490" s="4">
        <v>148990</v>
      </c>
      <c r="H490" s="4">
        <v>120581</v>
      </c>
      <c r="I490" s="4">
        <v>1000</v>
      </c>
      <c r="J490" s="4">
        <v>809</v>
      </c>
      <c r="K490" s="3" t="s">
        <v>680</v>
      </c>
      <c r="L490" s="3" t="s">
        <v>681</v>
      </c>
      <c r="M490" s="4" t="s">
        <v>0</v>
      </c>
      <c r="N490" s="3" t="s">
        <v>0</v>
      </c>
    </row>
    <row r="491" spans="1:14" x14ac:dyDescent="0.3">
      <c r="A491" s="1" t="s">
        <v>634</v>
      </c>
      <c r="B491" s="1" t="s">
        <v>363</v>
      </c>
      <c r="C491" s="2" t="s">
        <v>16</v>
      </c>
      <c r="D491" s="3" t="s">
        <v>747</v>
      </c>
      <c r="E491" s="4">
        <v>149990</v>
      </c>
      <c r="F491" s="4">
        <v>121390</v>
      </c>
      <c r="G491" s="4">
        <v>148990</v>
      </c>
      <c r="H491" s="4">
        <v>120581</v>
      </c>
      <c r="I491" s="4">
        <v>1000</v>
      </c>
      <c r="J491" s="4">
        <v>809</v>
      </c>
      <c r="K491" s="3" t="s">
        <v>680</v>
      </c>
      <c r="L491" s="3" t="s">
        <v>681</v>
      </c>
      <c r="M491" s="4" t="s">
        <v>0</v>
      </c>
      <c r="N491" s="3" t="s">
        <v>0</v>
      </c>
    </row>
    <row r="492" spans="1:14" x14ac:dyDescent="0.3">
      <c r="A492" s="1" t="s">
        <v>634</v>
      </c>
      <c r="B492" s="1" t="s">
        <v>364</v>
      </c>
      <c r="C492" s="2" t="s">
        <v>22</v>
      </c>
      <c r="D492" s="3" t="s">
        <v>747</v>
      </c>
      <c r="E492" s="4">
        <v>149990</v>
      </c>
      <c r="F492" s="4">
        <v>121390</v>
      </c>
      <c r="G492" s="4">
        <v>148990</v>
      </c>
      <c r="H492" s="4">
        <v>120581</v>
      </c>
      <c r="I492" s="4">
        <v>1000</v>
      </c>
      <c r="J492" s="4">
        <v>809</v>
      </c>
      <c r="K492" s="3" t="s">
        <v>680</v>
      </c>
      <c r="L492" s="3" t="s">
        <v>681</v>
      </c>
      <c r="M492" s="4" t="s">
        <v>0</v>
      </c>
      <c r="N492" s="3" t="s">
        <v>0</v>
      </c>
    </row>
    <row r="493" spans="1:14" x14ac:dyDescent="0.3">
      <c r="A493" s="1" t="s">
        <v>633</v>
      </c>
      <c r="B493" s="1" t="s">
        <v>345</v>
      </c>
      <c r="C493" s="2" t="s">
        <v>31</v>
      </c>
      <c r="D493" s="3" t="s">
        <v>745</v>
      </c>
      <c r="E493" s="4">
        <v>149990</v>
      </c>
      <c r="F493" s="4">
        <v>121390</v>
      </c>
      <c r="G493" s="4">
        <v>148990</v>
      </c>
      <c r="H493" s="4">
        <v>120581</v>
      </c>
      <c r="I493" s="4">
        <v>1000</v>
      </c>
      <c r="J493" s="4">
        <v>809</v>
      </c>
      <c r="K493" s="3" t="s">
        <v>680</v>
      </c>
      <c r="L493" s="3" t="s">
        <v>681</v>
      </c>
      <c r="M493" s="4" t="s">
        <v>0</v>
      </c>
      <c r="N493" s="3" t="s">
        <v>0</v>
      </c>
    </row>
    <row r="494" spans="1:14" x14ac:dyDescent="0.3">
      <c r="A494" s="1" t="s">
        <v>633</v>
      </c>
      <c r="B494" s="1" t="s">
        <v>346</v>
      </c>
      <c r="C494" s="2" t="s">
        <v>666</v>
      </c>
      <c r="D494" s="3" t="s">
        <v>745</v>
      </c>
      <c r="E494" s="4">
        <v>149990</v>
      </c>
      <c r="F494" s="4">
        <v>121390</v>
      </c>
      <c r="G494" s="4">
        <v>148990</v>
      </c>
      <c r="H494" s="4">
        <v>120581</v>
      </c>
      <c r="I494" s="4">
        <v>1000</v>
      </c>
      <c r="J494" s="4">
        <v>809</v>
      </c>
      <c r="K494" s="3" t="s">
        <v>680</v>
      </c>
      <c r="L494" s="3" t="s">
        <v>681</v>
      </c>
      <c r="M494" s="4" t="s">
        <v>0</v>
      </c>
      <c r="N494" s="3" t="s">
        <v>0</v>
      </c>
    </row>
    <row r="495" spans="1:14" x14ac:dyDescent="0.3">
      <c r="A495" s="1" t="s">
        <v>633</v>
      </c>
      <c r="B495" s="1" t="s">
        <v>347</v>
      </c>
      <c r="C495" s="2" t="s">
        <v>2</v>
      </c>
      <c r="D495" s="3" t="s">
        <v>745</v>
      </c>
      <c r="E495" s="4">
        <v>149990</v>
      </c>
      <c r="F495" s="4">
        <v>121390</v>
      </c>
      <c r="G495" s="4">
        <v>148990</v>
      </c>
      <c r="H495" s="4">
        <v>120581</v>
      </c>
      <c r="I495" s="4">
        <v>1000</v>
      </c>
      <c r="J495" s="4">
        <v>809</v>
      </c>
      <c r="K495" s="3" t="s">
        <v>680</v>
      </c>
      <c r="L495" s="3" t="s">
        <v>681</v>
      </c>
      <c r="M495" s="4" t="s">
        <v>0</v>
      </c>
      <c r="N495" s="3" t="s">
        <v>0</v>
      </c>
    </row>
    <row r="496" spans="1:14" x14ac:dyDescent="0.3">
      <c r="A496" s="1" t="s">
        <v>635</v>
      </c>
      <c r="B496" s="1" t="s">
        <v>365</v>
      </c>
      <c r="C496" s="2" t="s">
        <v>4</v>
      </c>
      <c r="D496" s="3" t="s">
        <v>748</v>
      </c>
      <c r="E496" s="4">
        <v>149990</v>
      </c>
      <c r="F496" s="4">
        <v>121390</v>
      </c>
      <c r="G496" s="4">
        <v>148990</v>
      </c>
      <c r="H496" s="4">
        <v>120581</v>
      </c>
      <c r="I496" s="4">
        <v>1000</v>
      </c>
      <c r="J496" s="4">
        <v>809</v>
      </c>
      <c r="K496" s="3" t="s">
        <v>680</v>
      </c>
      <c r="L496" s="3" t="s">
        <v>681</v>
      </c>
      <c r="M496" s="4" t="s">
        <v>0</v>
      </c>
      <c r="N496" s="3" t="s">
        <v>0</v>
      </c>
    </row>
    <row r="497" spans="1:14" x14ac:dyDescent="0.3">
      <c r="A497" s="1" t="s">
        <v>635</v>
      </c>
      <c r="B497" s="1" t="s">
        <v>366</v>
      </c>
      <c r="C497" s="2" t="s">
        <v>666</v>
      </c>
      <c r="D497" s="3" t="s">
        <v>748</v>
      </c>
      <c r="E497" s="4">
        <v>149990</v>
      </c>
      <c r="F497" s="4">
        <v>121390</v>
      </c>
      <c r="G497" s="4">
        <v>148990</v>
      </c>
      <c r="H497" s="4">
        <v>120581</v>
      </c>
      <c r="I497" s="4">
        <v>1000</v>
      </c>
      <c r="J497" s="4">
        <v>809</v>
      </c>
      <c r="K497" s="3" t="s">
        <v>680</v>
      </c>
      <c r="L497" s="3" t="s">
        <v>681</v>
      </c>
      <c r="M497" s="4" t="s">
        <v>0</v>
      </c>
      <c r="N497" s="3" t="s">
        <v>0</v>
      </c>
    </row>
    <row r="498" spans="1:14" x14ac:dyDescent="0.3">
      <c r="A498" s="1" t="s">
        <v>636</v>
      </c>
      <c r="B498" s="1" t="s">
        <v>367</v>
      </c>
      <c r="C498" s="2" t="s">
        <v>67</v>
      </c>
      <c r="D498" s="3" t="s">
        <v>749</v>
      </c>
      <c r="E498" s="4">
        <v>159990</v>
      </c>
      <c r="F498" s="4">
        <v>129483</v>
      </c>
      <c r="G498" s="4">
        <v>149990</v>
      </c>
      <c r="H498" s="4">
        <v>121390</v>
      </c>
      <c r="I498" s="4">
        <v>10000</v>
      </c>
      <c r="J498" s="4">
        <v>8093</v>
      </c>
      <c r="K498" s="3" t="s">
        <v>680</v>
      </c>
      <c r="L498" s="3" t="s">
        <v>681</v>
      </c>
      <c r="M498" s="4" t="s">
        <v>0</v>
      </c>
      <c r="N498" s="3" t="s">
        <v>0</v>
      </c>
    </row>
    <row r="499" spans="1:14" x14ac:dyDescent="0.3">
      <c r="A499" s="1" t="s">
        <v>565</v>
      </c>
      <c r="B499" s="1" t="s">
        <v>57</v>
      </c>
      <c r="C499" s="2" t="s">
        <v>54</v>
      </c>
      <c r="D499" s="3" t="s">
        <v>692</v>
      </c>
      <c r="E499" s="4">
        <v>189990</v>
      </c>
      <c r="F499" s="4">
        <v>153763</v>
      </c>
      <c r="G499" s="4">
        <v>149990</v>
      </c>
      <c r="H499" s="4">
        <v>121390</v>
      </c>
      <c r="I499" s="4">
        <v>40000</v>
      </c>
      <c r="J499" s="4">
        <v>32373</v>
      </c>
      <c r="K499" s="3" t="s">
        <v>680</v>
      </c>
      <c r="L499" s="3" t="s">
        <v>689</v>
      </c>
      <c r="M499" s="4" t="s">
        <v>0</v>
      </c>
      <c r="N499" s="3" t="s">
        <v>0</v>
      </c>
    </row>
    <row r="500" spans="1:14" x14ac:dyDescent="0.3">
      <c r="A500" s="1" t="s">
        <v>565</v>
      </c>
      <c r="B500" s="1" t="s">
        <v>58</v>
      </c>
      <c r="C500" s="2" t="s">
        <v>4</v>
      </c>
      <c r="D500" s="3" t="s">
        <v>692</v>
      </c>
      <c r="E500" s="4">
        <v>189990</v>
      </c>
      <c r="F500" s="4">
        <v>153763</v>
      </c>
      <c r="G500" s="4">
        <v>149990</v>
      </c>
      <c r="H500" s="4">
        <v>121390</v>
      </c>
      <c r="I500" s="4">
        <v>40000</v>
      </c>
      <c r="J500" s="4">
        <v>32373</v>
      </c>
      <c r="K500" s="3" t="s">
        <v>680</v>
      </c>
      <c r="L500" s="3" t="s">
        <v>689</v>
      </c>
      <c r="M500" s="4" t="s">
        <v>0</v>
      </c>
      <c r="N500" s="3" t="s">
        <v>0</v>
      </c>
    </row>
    <row r="501" spans="1:14" x14ac:dyDescent="0.3">
      <c r="A501" s="1" t="s">
        <v>565</v>
      </c>
      <c r="B501" s="1" t="s">
        <v>59</v>
      </c>
      <c r="C501" s="2" t="s">
        <v>31</v>
      </c>
      <c r="D501" s="3" t="s">
        <v>692</v>
      </c>
      <c r="E501" s="4">
        <v>189990</v>
      </c>
      <c r="F501" s="4">
        <v>153763</v>
      </c>
      <c r="G501" s="4">
        <v>149990</v>
      </c>
      <c r="H501" s="4">
        <v>121390</v>
      </c>
      <c r="I501" s="4">
        <v>40000</v>
      </c>
      <c r="J501" s="4">
        <v>32373</v>
      </c>
      <c r="K501" s="3" t="s">
        <v>680</v>
      </c>
      <c r="L501" s="3" t="s">
        <v>689</v>
      </c>
      <c r="M501" s="4" t="s">
        <v>0</v>
      </c>
      <c r="N501" s="3" t="s">
        <v>0</v>
      </c>
    </row>
    <row r="502" spans="1:14" x14ac:dyDescent="0.3">
      <c r="A502" s="1" t="s">
        <v>565</v>
      </c>
      <c r="B502" s="1" t="s">
        <v>60</v>
      </c>
      <c r="C502" s="2" t="s">
        <v>16</v>
      </c>
      <c r="D502" s="3" t="s">
        <v>692</v>
      </c>
      <c r="E502" s="4">
        <v>189990</v>
      </c>
      <c r="F502" s="4">
        <v>153763</v>
      </c>
      <c r="G502" s="4">
        <v>149990</v>
      </c>
      <c r="H502" s="4">
        <v>121390</v>
      </c>
      <c r="I502" s="4">
        <v>40000</v>
      </c>
      <c r="J502" s="4">
        <v>32373</v>
      </c>
      <c r="K502" s="3" t="s">
        <v>680</v>
      </c>
      <c r="L502" s="3" t="s">
        <v>689</v>
      </c>
      <c r="M502" s="4" t="s">
        <v>0</v>
      </c>
      <c r="N502" s="3" t="s">
        <v>0</v>
      </c>
    </row>
    <row r="503" spans="1:14" x14ac:dyDescent="0.3">
      <c r="A503" s="1" t="s">
        <v>565</v>
      </c>
      <c r="B503" s="1" t="s">
        <v>61</v>
      </c>
      <c r="C503" s="2" t="s">
        <v>2</v>
      </c>
      <c r="D503" s="3" t="s">
        <v>692</v>
      </c>
      <c r="E503" s="4">
        <v>189990</v>
      </c>
      <c r="F503" s="4">
        <v>153763</v>
      </c>
      <c r="G503" s="4">
        <v>149990</v>
      </c>
      <c r="H503" s="4">
        <v>121390</v>
      </c>
      <c r="I503" s="4">
        <v>40000</v>
      </c>
      <c r="J503" s="4">
        <v>32373</v>
      </c>
      <c r="K503" s="3" t="s">
        <v>680</v>
      </c>
      <c r="L503" s="3" t="s">
        <v>689</v>
      </c>
      <c r="M503" s="4" t="s">
        <v>0</v>
      </c>
      <c r="N503" s="3" t="s">
        <v>0</v>
      </c>
    </row>
    <row r="504" spans="1:14" x14ac:dyDescent="0.3">
      <c r="A504" s="1" t="s">
        <v>574</v>
      </c>
      <c r="B504" s="1" t="s">
        <v>120</v>
      </c>
      <c r="C504" s="2" t="s">
        <v>2</v>
      </c>
      <c r="D504" s="3" t="s">
        <v>700</v>
      </c>
      <c r="E504" s="4">
        <v>159990</v>
      </c>
      <c r="F504" s="4">
        <v>129483</v>
      </c>
      <c r="G504" s="4">
        <v>154990</v>
      </c>
      <c r="H504" s="4">
        <v>125437</v>
      </c>
      <c r="I504" s="4">
        <v>5000</v>
      </c>
      <c r="J504" s="4">
        <v>4046</v>
      </c>
      <c r="K504" s="3" t="s">
        <v>680</v>
      </c>
      <c r="L504" s="3" t="s">
        <v>689</v>
      </c>
      <c r="M504" s="4" t="s">
        <v>0</v>
      </c>
      <c r="N504" s="3" t="s">
        <v>0</v>
      </c>
    </row>
    <row r="505" spans="1:14" x14ac:dyDescent="0.3">
      <c r="A505" s="1" t="s">
        <v>574</v>
      </c>
      <c r="B505" s="1" t="s">
        <v>121</v>
      </c>
      <c r="C505" s="2" t="s">
        <v>9</v>
      </c>
      <c r="D505" s="3" t="s">
        <v>700</v>
      </c>
      <c r="E505" s="4">
        <v>159990</v>
      </c>
      <c r="F505" s="4">
        <v>129483</v>
      </c>
      <c r="G505" s="4">
        <v>154990</v>
      </c>
      <c r="H505" s="4">
        <v>125437</v>
      </c>
      <c r="I505" s="4">
        <v>5000</v>
      </c>
      <c r="J505" s="4">
        <v>4046</v>
      </c>
      <c r="K505" s="3" t="s">
        <v>680</v>
      </c>
      <c r="L505" s="3" t="s">
        <v>689</v>
      </c>
      <c r="M505" s="4" t="s">
        <v>0</v>
      </c>
      <c r="N505" s="3" t="s">
        <v>0</v>
      </c>
    </row>
    <row r="506" spans="1:14" x14ac:dyDescent="0.3">
      <c r="A506" s="1" t="s">
        <v>574</v>
      </c>
      <c r="B506" s="1" t="s">
        <v>122</v>
      </c>
      <c r="C506" s="2" t="s">
        <v>18</v>
      </c>
      <c r="D506" s="3" t="s">
        <v>700</v>
      </c>
      <c r="E506" s="4">
        <v>159990</v>
      </c>
      <c r="F506" s="4">
        <v>129483</v>
      </c>
      <c r="G506" s="4">
        <v>154990</v>
      </c>
      <c r="H506" s="4">
        <v>125437</v>
      </c>
      <c r="I506" s="4">
        <v>5000</v>
      </c>
      <c r="J506" s="4">
        <v>4046</v>
      </c>
      <c r="K506" s="3" t="s">
        <v>680</v>
      </c>
      <c r="L506" s="3" t="s">
        <v>689</v>
      </c>
      <c r="M506" s="4" t="s">
        <v>0</v>
      </c>
      <c r="N506" s="3" t="s">
        <v>0</v>
      </c>
    </row>
    <row r="507" spans="1:14" x14ac:dyDescent="0.3">
      <c r="A507" s="1" t="s">
        <v>570</v>
      </c>
      <c r="B507" s="1" t="s">
        <v>97</v>
      </c>
      <c r="C507" s="2" t="s">
        <v>666</v>
      </c>
      <c r="D507" s="3" t="s">
        <v>697</v>
      </c>
      <c r="E507" s="4">
        <v>159990</v>
      </c>
      <c r="F507" s="4">
        <v>129483</v>
      </c>
      <c r="G507" s="4">
        <v>154990</v>
      </c>
      <c r="H507" s="4">
        <v>125437</v>
      </c>
      <c r="I507" s="4">
        <v>5000</v>
      </c>
      <c r="J507" s="4">
        <v>4046</v>
      </c>
      <c r="K507" s="3" t="s">
        <v>680</v>
      </c>
      <c r="L507" s="3" t="s">
        <v>689</v>
      </c>
      <c r="M507" s="4" t="s">
        <v>0</v>
      </c>
      <c r="N507" s="3" t="s">
        <v>0</v>
      </c>
    </row>
    <row r="508" spans="1:14" x14ac:dyDescent="0.3">
      <c r="A508" s="1" t="s">
        <v>570</v>
      </c>
      <c r="B508" s="1" t="s">
        <v>98</v>
      </c>
      <c r="C508" s="2" t="s">
        <v>2</v>
      </c>
      <c r="D508" s="3" t="s">
        <v>697</v>
      </c>
      <c r="E508" s="4">
        <v>159990</v>
      </c>
      <c r="F508" s="4">
        <v>129483</v>
      </c>
      <c r="G508" s="4">
        <v>154990</v>
      </c>
      <c r="H508" s="4">
        <v>125437</v>
      </c>
      <c r="I508" s="4">
        <v>5000</v>
      </c>
      <c r="J508" s="4">
        <v>4046</v>
      </c>
      <c r="K508" s="3" t="s">
        <v>680</v>
      </c>
      <c r="L508" s="3" t="s">
        <v>689</v>
      </c>
      <c r="M508" s="4" t="s">
        <v>0</v>
      </c>
      <c r="N508" s="3" t="s">
        <v>0</v>
      </c>
    </row>
    <row r="509" spans="1:14" x14ac:dyDescent="0.3">
      <c r="A509" s="1" t="s">
        <v>570</v>
      </c>
      <c r="B509" s="1" t="s">
        <v>99</v>
      </c>
      <c r="C509" s="2" t="s">
        <v>11</v>
      </c>
      <c r="D509" s="3" t="s">
        <v>697</v>
      </c>
      <c r="E509" s="4">
        <v>159990</v>
      </c>
      <c r="F509" s="4">
        <v>129483</v>
      </c>
      <c r="G509" s="4">
        <v>154990</v>
      </c>
      <c r="H509" s="4">
        <v>125437</v>
      </c>
      <c r="I509" s="4">
        <v>5000</v>
      </c>
      <c r="J509" s="4">
        <v>4046</v>
      </c>
      <c r="K509" s="3" t="s">
        <v>680</v>
      </c>
      <c r="L509" s="3" t="s">
        <v>689</v>
      </c>
      <c r="M509" s="4" t="s">
        <v>0</v>
      </c>
      <c r="N509" s="3" t="s">
        <v>0</v>
      </c>
    </row>
    <row r="510" spans="1:14" x14ac:dyDescent="0.3">
      <c r="A510" s="1" t="s">
        <v>570</v>
      </c>
      <c r="B510" s="1" t="s">
        <v>100</v>
      </c>
      <c r="C510" s="2" t="s">
        <v>24</v>
      </c>
      <c r="D510" s="3" t="s">
        <v>697</v>
      </c>
      <c r="E510" s="4">
        <v>159990</v>
      </c>
      <c r="F510" s="4">
        <v>129483</v>
      </c>
      <c r="G510" s="4">
        <v>154990</v>
      </c>
      <c r="H510" s="4">
        <v>125437</v>
      </c>
      <c r="I510" s="4">
        <v>5000</v>
      </c>
      <c r="J510" s="4">
        <v>4046</v>
      </c>
      <c r="K510" s="3" t="s">
        <v>680</v>
      </c>
      <c r="L510" s="3" t="s">
        <v>689</v>
      </c>
      <c r="M510" s="4" t="s">
        <v>0</v>
      </c>
      <c r="N510" s="3" t="s">
        <v>0</v>
      </c>
    </row>
    <row r="511" spans="1:14" x14ac:dyDescent="0.3">
      <c r="A511" s="1" t="s">
        <v>570</v>
      </c>
      <c r="B511" s="1" t="s">
        <v>101</v>
      </c>
      <c r="C511" s="2" t="s">
        <v>22</v>
      </c>
      <c r="D511" s="3" t="s">
        <v>697</v>
      </c>
      <c r="E511" s="4">
        <v>159990</v>
      </c>
      <c r="F511" s="4">
        <v>129483</v>
      </c>
      <c r="G511" s="4">
        <v>154990</v>
      </c>
      <c r="H511" s="4">
        <v>125437</v>
      </c>
      <c r="I511" s="4">
        <v>5000</v>
      </c>
      <c r="J511" s="4">
        <v>4046</v>
      </c>
      <c r="K511" s="3" t="s">
        <v>680</v>
      </c>
      <c r="L511" s="3" t="s">
        <v>689</v>
      </c>
      <c r="M511" s="4" t="s">
        <v>0</v>
      </c>
      <c r="N511" s="3" t="s">
        <v>0</v>
      </c>
    </row>
    <row r="512" spans="1:14" x14ac:dyDescent="0.3">
      <c r="A512" s="1" t="s">
        <v>570</v>
      </c>
      <c r="B512" s="1" t="s">
        <v>102</v>
      </c>
      <c r="C512" s="2" t="s">
        <v>2</v>
      </c>
      <c r="D512" s="3" t="s">
        <v>697</v>
      </c>
      <c r="E512" s="4">
        <v>159990</v>
      </c>
      <c r="F512" s="4">
        <v>129483</v>
      </c>
      <c r="G512" s="4">
        <v>154990</v>
      </c>
      <c r="H512" s="4">
        <v>125437</v>
      </c>
      <c r="I512" s="4">
        <v>5000</v>
      </c>
      <c r="J512" s="4">
        <v>4046</v>
      </c>
      <c r="K512" s="3" t="s">
        <v>680</v>
      </c>
      <c r="L512" s="3" t="s">
        <v>689</v>
      </c>
      <c r="M512" s="4" t="s">
        <v>0</v>
      </c>
      <c r="N512" s="3" t="s">
        <v>0</v>
      </c>
    </row>
    <row r="513" spans="1:14" x14ac:dyDescent="0.3">
      <c r="A513" s="1" t="s">
        <v>618</v>
      </c>
      <c r="B513" s="1" t="s">
        <v>305</v>
      </c>
      <c r="C513" s="2" t="s">
        <v>2</v>
      </c>
      <c r="D513" s="3" t="s">
        <v>798</v>
      </c>
      <c r="E513" s="4" t="s">
        <v>0</v>
      </c>
      <c r="F513" s="4" t="s">
        <v>0</v>
      </c>
      <c r="G513" s="4">
        <v>169990</v>
      </c>
      <c r="H513" s="4">
        <v>137576.6525423729</v>
      </c>
      <c r="I513" s="4" t="s">
        <v>0</v>
      </c>
      <c r="J513" s="4" t="s">
        <v>0</v>
      </c>
      <c r="K513" s="3" t="s">
        <v>677</v>
      </c>
      <c r="L513" s="3" t="s">
        <v>784</v>
      </c>
      <c r="M513" s="4" t="s">
        <v>0</v>
      </c>
      <c r="N513" s="3" t="s">
        <v>0</v>
      </c>
    </row>
    <row r="514" spans="1:14" x14ac:dyDescent="0.3">
      <c r="A514" s="1" t="s">
        <v>617</v>
      </c>
      <c r="B514" s="1" t="s">
        <v>304</v>
      </c>
      <c r="C514" s="2" t="s">
        <v>666</v>
      </c>
      <c r="D514" s="3" t="s">
        <v>797</v>
      </c>
      <c r="E514" s="4" t="s">
        <v>0</v>
      </c>
      <c r="F514" s="4" t="s">
        <v>0</v>
      </c>
      <c r="G514" s="4">
        <v>169990</v>
      </c>
      <c r="H514" s="4">
        <v>137576.6525423729</v>
      </c>
      <c r="I514" s="4" t="s">
        <v>0</v>
      </c>
      <c r="J514" s="4" t="s">
        <v>0</v>
      </c>
      <c r="K514" s="3" t="s">
        <v>677</v>
      </c>
      <c r="L514" s="3" t="s">
        <v>784</v>
      </c>
      <c r="M514" s="4" t="s">
        <v>0</v>
      </c>
      <c r="N514" s="3" t="s">
        <v>0</v>
      </c>
    </row>
    <row r="515" spans="1:14" x14ac:dyDescent="0.3">
      <c r="A515" s="1" t="s">
        <v>576</v>
      </c>
      <c r="B515" s="1" t="s">
        <v>124</v>
      </c>
      <c r="C515" s="2" t="s">
        <v>2</v>
      </c>
      <c r="D515" s="3" t="s">
        <v>796</v>
      </c>
      <c r="E515" s="4" t="s">
        <v>0</v>
      </c>
      <c r="F515" s="4" t="s">
        <v>0</v>
      </c>
      <c r="G515" s="4">
        <v>169990</v>
      </c>
      <c r="H515" s="4">
        <v>137577</v>
      </c>
      <c r="I515" s="4" t="s">
        <v>0</v>
      </c>
      <c r="J515" s="4" t="s">
        <v>0</v>
      </c>
      <c r="K515" s="3" t="s">
        <v>677</v>
      </c>
      <c r="L515" s="3" t="s">
        <v>784</v>
      </c>
      <c r="M515" s="4" t="s">
        <v>0</v>
      </c>
      <c r="N515" s="3" t="s">
        <v>0</v>
      </c>
    </row>
    <row r="516" spans="1:14" x14ac:dyDescent="0.3">
      <c r="A516" s="1" t="s">
        <v>576</v>
      </c>
      <c r="B516" s="1" t="s">
        <v>125</v>
      </c>
      <c r="C516" s="2" t="s">
        <v>24</v>
      </c>
      <c r="D516" s="3" t="s">
        <v>796</v>
      </c>
      <c r="E516" s="4" t="s">
        <v>0</v>
      </c>
      <c r="F516" s="4" t="s">
        <v>0</v>
      </c>
      <c r="G516" s="4">
        <v>169990</v>
      </c>
      <c r="H516" s="4">
        <v>137577</v>
      </c>
      <c r="I516" s="4" t="s">
        <v>0</v>
      </c>
      <c r="J516" s="4" t="s">
        <v>0</v>
      </c>
      <c r="K516" s="3" t="s">
        <v>677</v>
      </c>
      <c r="L516" s="3" t="s">
        <v>784</v>
      </c>
      <c r="M516" s="4" t="s">
        <v>0</v>
      </c>
      <c r="N516" s="3" t="s">
        <v>0</v>
      </c>
    </row>
    <row r="517" spans="1:14" x14ac:dyDescent="0.3">
      <c r="A517" s="1" t="s">
        <v>576</v>
      </c>
      <c r="B517" s="1" t="s">
        <v>126</v>
      </c>
      <c r="C517" s="2" t="s">
        <v>2</v>
      </c>
      <c r="D517" s="3" t="s">
        <v>796</v>
      </c>
      <c r="E517" s="4" t="s">
        <v>0</v>
      </c>
      <c r="F517" s="4" t="s">
        <v>0</v>
      </c>
      <c r="G517" s="4">
        <v>169990</v>
      </c>
      <c r="H517" s="4">
        <v>137577</v>
      </c>
      <c r="I517" s="4" t="s">
        <v>0</v>
      </c>
      <c r="J517" s="4" t="s">
        <v>0</v>
      </c>
      <c r="K517" s="3" t="s">
        <v>677</v>
      </c>
      <c r="L517" s="3" t="s">
        <v>784</v>
      </c>
      <c r="M517" s="4" t="s">
        <v>0</v>
      </c>
      <c r="N517" s="3" t="s">
        <v>0</v>
      </c>
    </row>
    <row r="518" spans="1:14" x14ac:dyDescent="0.3">
      <c r="A518" s="1" t="s">
        <v>576</v>
      </c>
      <c r="B518" s="1" t="s">
        <v>127</v>
      </c>
      <c r="C518" s="2" t="s">
        <v>2</v>
      </c>
      <c r="D518" s="3" t="s">
        <v>796</v>
      </c>
      <c r="E518" s="4" t="s">
        <v>0</v>
      </c>
      <c r="F518" s="4" t="s">
        <v>0</v>
      </c>
      <c r="G518" s="4">
        <v>169990</v>
      </c>
      <c r="H518" s="4">
        <v>137577</v>
      </c>
      <c r="I518" s="4" t="s">
        <v>0</v>
      </c>
      <c r="J518" s="4" t="s">
        <v>0</v>
      </c>
      <c r="K518" s="3" t="s">
        <v>677</v>
      </c>
      <c r="L518" s="3" t="s">
        <v>784</v>
      </c>
      <c r="M518" s="4" t="s">
        <v>0</v>
      </c>
      <c r="N518" s="3" t="s">
        <v>0</v>
      </c>
    </row>
    <row r="519" spans="1:14" x14ac:dyDescent="0.3">
      <c r="A519" s="1" t="s">
        <v>576</v>
      </c>
      <c r="B519" s="1" t="s">
        <v>128</v>
      </c>
      <c r="C519" s="2" t="s">
        <v>2</v>
      </c>
      <c r="D519" s="3" t="s">
        <v>796</v>
      </c>
      <c r="E519" s="4" t="s">
        <v>0</v>
      </c>
      <c r="F519" s="4" t="s">
        <v>0</v>
      </c>
      <c r="G519" s="4">
        <v>169990</v>
      </c>
      <c r="H519" s="4">
        <v>137577</v>
      </c>
      <c r="I519" s="4" t="s">
        <v>0</v>
      </c>
      <c r="J519" s="4" t="s">
        <v>0</v>
      </c>
      <c r="K519" s="3" t="s">
        <v>677</v>
      </c>
      <c r="L519" s="3" t="s">
        <v>784</v>
      </c>
      <c r="M519" s="4" t="s">
        <v>0</v>
      </c>
      <c r="N519" s="3" t="s">
        <v>0</v>
      </c>
    </row>
    <row r="520" spans="1:14" x14ac:dyDescent="0.3">
      <c r="A520" s="1" t="s">
        <v>576</v>
      </c>
      <c r="B520" s="1" t="s">
        <v>129</v>
      </c>
      <c r="C520" s="2" t="s">
        <v>54</v>
      </c>
      <c r="D520" s="3" t="s">
        <v>796</v>
      </c>
      <c r="E520" s="4" t="s">
        <v>0</v>
      </c>
      <c r="F520" s="4" t="s">
        <v>0</v>
      </c>
      <c r="G520" s="4">
        <v>169990</v>
      </c>
      <c r="H520" s="4">
        <v>137577</v>
      </c>
      <c r="I520" s="4" t="s">
        <v>0</v>
      </c>
      <c r="J520" s="4" t="s">
        <v>0</v>
      </c>
      <c r="K520" s="3" t="s">
        <v>677</v>
      </c>
      <c r="L520" s="3" t="s">
        <v>784</v>
      </c>
      <c r="M520" s="4" t="s">
        <v>0</v>
      </c>
      <c r="N520" s="3" t="s">
        <v>0</v>
      </c>
    </row>
    <row r="521" spans="1:14" x14ac:dyDescent="0.3">
      <c r="A521" s="1" t="s">
        <v>560</v>
      </c>
      <c r="B521" s="1" t="s">
        <v>40</v>
      </c>
      <c r="C521" s="2" t="s">
        <v>2</v>
      </c>
      <c r="D521" s="3" t="s">
        <v>799</v>
      </c>
      <c r="E521" s="4" t="s">
        <v>0</v>
      </c>
      <c r="F521" s="4" t="s">
        <v>0</v>
      </c>
      <c r="G521" s="4">
        <v>179990</v>
      </c>
      <c r="H521" s="4">
        <v>145670</v>
      </c>
      <c r="I521" s="4" t="s">
        <v>0</v>
      </c>
      <c r="J521" s="4" t="s">
        <v>0</v>
      </c>
      <c r="K521" s="3" t="s">
        <v>677</v>
      </c>
      <c r="L521" s="3" t="s">
        <v>784</v>
      </c>
      <c r="M521" s="4" t="s">
        <v>0</v>
      </c>
      <c r="N521" s="3" t="s">
        <v>0</v>
      </c>
    </row>
    <row r="522" spans="1:14" x14ac:dyDescent="0.3">
      <c r="A522" s="1" t="s">
        <v>560</v>
      </c>
      <c r="B522" s="1" t="s">
        <v>41</v>
      </c>
      <c r="C522" s="2" t="s">
        <v>666</v>
      </c>
      <c r="D522" s="3" t="s">
        <v>799</v>
      </c>
      <c r="E522" s="4" t="s">
        <v>0</v>
      </c>
      <c r="F522" s="4" t="s">
        <v>0</v>
      </c>
      <c r="G522" s="4">
        <v>179990</v>
      </c>
      <c r="H522" s="4">
        <v>145670</v>
      </c>
      <c r="I522" s="4" t="s">
        <v>0</v>
      </c>
      <c r="J522" s="4" t="s">
        <v>0</v>
      </c>
      <c r="K522" s="3" t="s">
        <v>677</v>
      </c>
      <c r="L522" s="3" t="s">
        <v>784</v>
      </c>
      <c r="M522" s="4" t="s">
        <v>0</v>
      </c>
      <c r="N522" s="3" t="s">
        <v>0</v>
      </c>
    </row>
    <row r="523" spans="1:14" x14ac:dyDescent="0.3">
      <c r="A523" s="1" t="s">
        <v>560</v>
      </c>
      <c r="B523" s="1" t="s">
        <v>42</v>
      </c>
      <c r="C523" s="2" t="s">
        <v>4</v>
      </c>
      <c r="D523" s="3" t="s">
        <v>799</v>
      </c>
      <c r="E523" s="4" t="s">
        <v>0</v>
      </c>
      <c r="F523" s="4" t="s">
        <v>0</v>
      </c>
      <c r="G523" s="4">
        <v>179990</v>
      </c>
      <c r="H523" s="4">
        <v>145670</v>
      </c>
      <c r="I523" s="4" t="s">
        <v>0</v>
      </c>
      <c r="J523" s="4" t="s">
        <v>0</v>
      </c>
      <c r="K523" s="3" t="s">
        <v>677</v>
      </c>
      <c r="L523" s="3" t="s">
        <v>784</v>
      </c>
      <c r="M523" s="4" t="s">
        <v>0</v>
      </c>
      <c r="N523" s="3" t="s">
        <v>0</v>
      </c>
    </row>
    <row r="524" spans="1:14" x14ac:dyDescent="0.3">
      <c r="A524" s="1" t="s">
        <v>560</v>
      </c>
      <c r="B524" s="1" t="s">
        <v>43</v>
      </c>
      <c r="C524" s="2" t="s">
        <v>2</v>
      </c>
      <c r="D524" s="3" t="s">
        <v>799</v>
      </c>
      <c r="E524" s="4" t="s">
        <v>0</v>
      </c>
      <c r="F524" s="4" t="s">
        <v>0</v>
      </c>
      <c r="G524" s="4">
        <v>179990</v>
      </c>
      <c r="H524" s="4">
        <v>145670</v>
      </c>
      <c r="I524" s="4" t="s">
        <v>0</v>
      </c>
      <c r="J524" s="4" t="s">
        <v>0</v>
      </c>
      <c r="K524" s="3" t="s">
        <v>677</v>
      </c>
      <c r="L524" s="3" t="s">
        <v>784</v>
      </c>
      <c r="M524" s="4" t="s">
        <v>0</v>
      </c>
      <c r="N524" s="3" t="s">
        <v>0</v>
      </c>
    </row>
    <row r="525" spans="1:14" x14ac:dyDescent="0.3">
      <c r="A525" s="1" t="s">
        <v>560</v>
      </c>
      <c r="B525" s="1" t="s">
        <v>44</v>
      </c>
      <c r="C525" s="2" t="s">
        <v>18</v>
      </c>
      <c r="D525" s="3" t="s">
        <v>799</v>
      </c>
      <c r="E525" s="4" t="s">
        <v>0</v>
      </c>
      <c r="F525" s="4" t="s">
        <v>0</v>
      </c>
      <c r="G525" s="4">
        <v>179990</v>
      </c>
      <c r="H525" s="4">
        <v>145670</v>
      </c>
      <c r="I525" s="4" t="s">
        <v>0</v>
      </c>
      <c r="J525" s="4" t="s">
        <v>0</v>
      </c>
      <c r="K525" s="3" t="s">
        <v>677</v>
      </c>
      <c r="L525" s="3" t="s">
        <v>784</v>
      </c>
      <c r="M525" s="4" t="s">
        <v>0</v>
      </c>
      <c r="N525" s="3" t="s">
        <v>0</v>
      </c>
    </row>
    <row r="526" spans="1:14" x14ac:dyDescent="0.3">
      <c r="A526" s="1" t="s">
        <v>560</v>
      </c>
      <c r="B526" s="1" t="s">
        <v>45</v>
      </c>
      <c r="C526" s="2" t="s">
        <v>24</v>
      </c>
      <c r="D526" s="3" t="s">
        <v>799</v>
      </c>
      <c r="E526" s="4" t="s">
        <v>0</v>
      </c>
      <c r="F526" s="4" t="s">
        <v>0</v>
      </c>
      <c r="G526" s="4">
        <v>179990</v>
      </c>
      <c r="H526" s="4">
        <v>145670</v>
      </c>
      <c r="I526" s="4" t="s">
        <v>0</v>
      </c>
      <c r="J526" s="4" t="s">
        <v>0</v>
      </c>
      <c r="K526" s="3" t="s">
        <v>677</v>
      </c>
      <c r="L526" s="3" t="s">
        <v>784</v>
      </c>
      <c r="M526" s="4" t="s">
        <v>0</v>
      </c>
      <c r="N526" s="3" t="s">
        <v>0</v>
      </c>
    </row>
    <row r="527" spans="1:14" x14ac:dyDescent="0.3">
      <c r="A527" s="1" t="s">
        <v>575</v>
      </c>
      <c r="B527" s="1" t="s">
        <v>123</v>
      </c>
      <c r="C527" s="2" t="s">
        <v>2</v>
      </c>
      <c r="D527" s="3" t="s">
        <v>800</v>
      </c>
      <c r="E527" s="4" t="s">
        <v>0</v>
      </c>
      <c r="F527" s="4" t="s">
        <v>0</v>
      </c>
      <c r="G527" s="4">
        <v>184990</v>
      </c>
      <c r="H527" s="4">
        <v>149716</v>
      </c>
      <c r="I527" s="4" t="s">
        <v>0</v>
      </c>
      <c r="J527" s="4" t="s">
        <v>0</v>
      </c>
      <c r="K527" s="3" t="s">
        <v>677</v>
      </c>
      <c r="L527" s="3" t="s">
        <v>784</v>
      </c>
      <c r="M527" s="4" t="s">
        <v>0</v>
      </c>
      <c r="N527" s="3" t="s">
        <v>0</v>
      </c>
    </row>
    <row r="528" spans="1:14" x14ac:dyDescent="0.3">
      <c r="A528" s="8" t="s">
        <v>939</v>
      </c>
      <c r="B528" s="8" t="s">
        <v>889</v>
      </c>
      <c r="C528" s="8" t="s">
        <v>815</v>
      </c>
      <c r="D528" s="3" t="s">
        <v>804</v>
      </c>
      <c r="G528" s="4">
        <v>190000</v>
      </c>
      <c r="H528" s="4">
        <v>700</v>
      </c>
      <c r="J528" s="4" t="s">
        <v>941</v>
      </c>
      <c r="K528" s="3" t="s">
        <v>677</v>
      </c>
      <c r="L528" s="3" t="s">
        <v>784</v>
      </c>
    </row>
    <row r="529" spans="1:14" x14ac:dyDescent="0.3">
      <c r="A529" s="1" t="s">
        <v>587</v>
      </c>
      <c r="B529" s="1" t="s">
        <v>175</v>
      </c>
      <c r="C529" s="2" t="s">
        <v>2</v>
      </c>
      <c r="D529" s="3" t="s">
        <v>802</v>
      </c>
      <c r="E529" s="4" t="s">
        <v>0</v>
      </c>
      <c r="F529" s="4" t="s">
        <v>0</v>
      </c>
      <c r="G529" s="4">
        <v>199990</v>
      </c>
      <c r="H529" s="4">
        <v>161856</v>
      </c>
      <c r="I529" s="4" t="s">
        <v>0</v>
      </c>
      <c r="J529" s="4" t="s">
        <v>0</v>
      </c>
      <c r="K529" s="3" t="s">
        <v>677</v>
      </c>
      <c r="L529" s="3" t="s">
        <v>784</v>
      </c>
      <c r="M529" s="4" t="s">
        <v>0</v>
      </c>
      <c r="N529" s="3" t="s">
        <v>0</v>
      </c>
    </row>
    <row r="530" spans="1:14" x14ac:dyDescent="0.3">
      <c r="A530" s="1" t="s">
        <v>587</v>
      </c>
      <c r="B530" s="1" t="s">
        <v>176</v>
      </c>
      <c r="C530" s="2" t="s">
        <v>2</v>
      </c>
      <c r="D530" s="3" t="s">
        <v>802</v>
      </c>
      <c r="E530" s="4" t="s">
        <v>0</v>
      </c>
      <c r="F530" s="4" t="s">
        <v>0</v>
      </c>
      <c r="G530" s="4">
        <v>199990</v>
      </c>
      <c r="H530" s="4">
        <v>161856</v>
      </c>
      <c r="I530" s="4" t="s">
        <v>0</v>
      </c>
      <c r="J530" s="4" t="s">
        <v>0</v>
      </c>
      <c r="K530" s="3" t="s">
        <v>677</v>
      </c>
      <c r="L530" s="3" t="s">
        <v>784</v>
      </c>
      <c r="M530" s="4" t="s">
        <v>0</v>
      </c>
      <c r="N530" s="3" t="s">
        <v>0</v>
      </c>
    </row>
    <row r="531" spans="1:14" x14ac:dyDescent="0.3">
      <c r="A531" s="1" t="s">
        <v>587</v>
      </c>
      <c r="B531" s="1" t="s">
        <v>177</v>
      </c>
      <c r="C531" s="2" t="s">
        <v>2</v>
      </c>
      <c r="D531" s="3" t="s">
        <v>802</v>
      </c>
      <c r="E531" s="4" t="s">
        <v>0</v>
      </c>
      <c r="F531" s="4" t="s">
        <v>0</v>
      </c>
      <c r="G531" s="4">
        <v>199990</v>
      </c>
      <c r="H531" s="4">
        <v>161856</v>
      </c>
      <c r="I531" s="4" t="s">
        <v>0</v>
      </c>
      <c r="J531" s="4" t="s">
        <v>0</v>
      </c>
      <c r="K531" s="3" t="s">
        <v>677</v>
      </c>
      <c r="L531" s="3" t="s">
        <v>784</v>
      </c>
      <c r="M531" s="4" t="s">
        <v>0</v>
      </c>
      <c r="N531" s="3" t="s">
        <v>0</v>
      </c>
    </row>
    <row r="532" spans="1:14" x14ac:dyDescent="0.3">
      <c r="A532" s="1" t="s">
        <v>587</v>
      </c>
      <c r="B532" s="1" t="s">
        <v>178</v>
      </c>
      <c r="C532" s="2" t="s">
        <v>2</v>
      </c>
      <c r="D532" s="3" t="s">
        <v>802</v>
      </c>
      <c r="E532" s="4" t="s">
        <v>0</v>
      </c>
      <c r="F532" s="4" t="s">
        <v>0</v>
      </c>
      <c r="G532" s="4">
        <v>199990</v>
      </c>
      <c r="H532" s="4">
        <v>161856</v>
      </c>
      <c r="I532" s="4" t="s">
        <v>0</v>
      </c>
      <c r="J532" s="4" t="s">
        <v>0</v>
      </c>
      <c r="K532" s="3" t="s">
        <v>677</v>
      </c>
      <c r="L532" s="3" t="s">
        <v>784</v>
      </c>
      <c r="M532" s="4" t="s">
        <v>0</v>
      </c>
      <c r="N532" s="3" t="s">
        <v>0</v>
      </c>
    </row>
    <row r="533" spans="1:14" x14ac:dyDescent="0.3">
      <c r="A533" s="1" t="s">
        <v>587</v>
      </c>
      <c r="B533" s="1" t="s">
        <v>179</v>
      </c>
      <c r="C533" s="2" t="s">
        <v>24</v>
      </c>
      <c r="D533" s="3" t="s">
        <v>802</v>
      </c>
      <c r="E533" s="4" t="s">
        <v>0</v>
      </c>
      <c r="F533" s="4" t="s">
        <v>0</v>
      </c>
      <c r="G533" s="4">
        <v>199990</v>
      </c>
      <c r="H533" s="4">
        <v>161856</v>
      </c>
      <c r="I533" s="4" t="s">
        <v>0</v>
      </c>
      <c r="J533" s="4" t="s">
        <v>0</v>
      </c>
      <c r="K533" s="3" t="s">
        <v>677</v>
      </c>
      <c r="L533" s="3" t="s">
        <v>784</v>
      </c>
      <c r="M533" s="4" t="s">
        <v>0</v>
      </c>
      <c r="N533" s="3" t="s">
        <v>0</v>
      </c>
    </row>
    <row r="534" spans="1:14" x14ac:dyDescent="0.3">
      <c r="A534" s="1" t="s">
        <v>587</v>
      </c>
      <c r="B534" s="1" t="s">
        <v>180</v>
      </c>
      <c r="C534" s="2" t="s">
        <v>666</v>
      </c>
      <c r="D534" s="3" t="s">
        <v>802</v>
      </c>
      <c r="E534" s="4" t="s">
        <v>0</v>
      </c>
      <c r="F534" s="4" t="s">
        <v>0</v>
      </c>
      <c r="G534" s="4">
        <v>199990</v>
      </c>
      <c r="H534" s="4">
        <v>161856</v>
      </c>
      <c r="I534" s="4" t="s">
        <v>0</v>
      </c>
      <c r="J534" s="4" t="s">
        <v>0</v>
      </c>
      <c r="K534" s="3" t="s">
        <v>677</v>
      </c>
      <c r="L534" s="3" t="s">
        <v>784</v>
      </c>
      <c r="M534" s="4" t="s">
        <v>0</v>
      </c>
      <c r="N534" s="3" t="s">
        <v>0</v>
      </c>
    </row>
    <row r="535" spans="1:14" x14ac:dyDescent="0.3">
      <c r="A535" s="1" t="s">
        <v>587</v>
      </c>
      <c r="B535" s="1" t="s">
        <v>181</v>
      </c>
      <c r="C535" s="2" t="s">
        <v>667</v>
      </c>
      <c r="D535" s="3" t="s">
        <v>802</v>
      </c>
      <c r="E535" s="4" t="s">
        <v>0</v>
      </c>
      <c r="F535" s="4" t="s">
        <v>0</v>
      </c>
      <c r="G535" s="4">
        <v>199990</v>
      </c>
      <c r="H535" s="4">
        <v>161856</v>
      </c>
      <c r="I535" s="4" t="s">
        <v>0</v>
      </c>
      <c r="J535" s="4" t="s">
        <v>0</v>
      </c>
      <c r="K535" s="3" t="s">
        <v>677</v>
      </c>
      <c r="L535" s="3" t="s">
        <v>784</v>
      </c>
      <c r="M535" s="4" t="s">
        <v>0</v>
      </c>
      <c r="N535" s="3" t="s">
        <v>0</v>
      </c>
    </row>
    <row r="536" spans="1:14" x14ac:dyDescent="0.3">
      <c r="A536" s="1" t="s">
        <v>587</v>
      </c>
      <c r="B536" s="1" t="s">
        <v>182</v>
      </c>
      <c r="C536" s="2" t="s">
        <v>2</v>
      </c>
      <c r="D536" s="3" t="s">
        <v>802</v>
      </c>
      <c r="E536" s="4" t="s">
        <v>0</v>
      </c>
      <c r="F536" s="4" t="s">
        <v>0</v>
      </c>
      <c r="G536" s="4">
        <v>199990</v>
      </c>
      <c r="H536" s="4">
        <v>161856</v>
      </c>
      <c r="I536" s="4" t="s">
        <v>0</v>
      </c>
      <c r="J536" s="4" t="s">
        <v>0</v>
      </c>
      <c r="K536" s="3" t="s">
        <v>677</v>
      </c>
      <c r="L536" s="3" t="s">
        <v>784</v>
      </c>
      <c r="M536" s="4" t="s">
        <v>0</v>
      </c>
      <c r="N536" s="3" t="s">
        <v>0</v>
      </c>
    </row>
    <row r="537" spans="1:14" x14ac:dyDescent="0.3">
      <c r="A537" s="1" t="s">
        <v>587</v>
      </c>
      <c r="B537" s="1" t="s">
        <v>183</v>
      </c>
      <c r="C537" s="2" t="s">
        <v>16</v>
      </c>
      <c r="D537" s="3" t="s">
        <v>802</v>
      </c>
      <c r="E537" s="4" t="s">
        <v>0</v>
      </c>
      <c r="F537" s="4" t="s">
        <v>0</v>
      </c>
      <c r="G537" s="4">
        <v>199990</v>
      </c>
      <c r="H537" s="4">
        <v>161856</v>
      </c>
      <c r="I537" s="4" t="s">
        <v>0</v>
      </c>
      <c r="J537" s="4" t="s">
        <v>0</v>
      </c>
      <c r="K537" s="3" t="s">
        <v>677</v>
      </c>
      <c r="L537" s="3" t="s">
        <v>784</v>
      </c>
      <c r="M537" s="4" t="s">
        <v>0</v>
      </c>
      <c r="N537" s="3" t="s">
        <v>0</v>
      </c>
    </row>
    <row r="538" spans="1:14" x14ac:dyDescent="0.3">
      <c r="A538" s="1" t="s">
        <v>587</v>
      </c>
      <c r="B538" s="1" t="s">
        <v>184</v>
      </c>
      <c r="C538" s="2" t="s">
        <v>2</v>
      </c>
      <c r="D538" s="3" t="s">
        <v>802</v>
      </c>
      <c r="E538" s="4" t="s">
        <v>0</v>
      </c>
      <c r="F538" s="4" t="s">
        <v>0</v>
      </c>
      <c r="G538" s="4">
        <v>199990</v>
      </c>
      <c r="H538" s="4">
        <v>161856</v>
      </c>
      <c r="I538" s="4" t="s">
        <v>0</v>
      </c>
      <c r="J538" s="4" t="s">
        <v>0</v>
      </c>
      <c r="K538" s="3" t="s">
        <v>677</v>
      </c>
      <c r="L538" s="3" t="s">
        <v>784</v>
      </c>
      <c r="M538" s="4" t="s">
        <v>0</v>
      </c>
      <c r="N538" s="3" t="s">
        <v>0</v>
      </c>
    </row>
    <row r="539" spans="1:14" x14ac:dyDescent="0.3">
      <c r="A539" s="1" t="s">
        <v>587</v>
      </c>
      <c r="B539" s="1" t="s">
        <v>185</v>
      </c>
      <c r="C539" s="2" t="s">
        <v>11</v>
      </c>
      <c r="D539" s="3" t="s">
        <v>802</v>
      </c>
      <c r="E539" s="4" t="s">
        <v>0</v>
      </c>
      <c r="F539" s="4" t="s">
        <v>0</v>
      </c>
      <c r="G539" s="4">
        <v>199990</v>
      </c>
      <c r="H539" s="4">
        <v>161856</v>
      </c>
      <c r="I539" s="4" t="s">
        <v>0</v>
      </c>
      <c r="J539" s="4" t="s">
        <v>0</v>
      </c>
      <c r="K539" s="3" t="s">
        <v>677</v>
      </c>
      <c r="L539" s="3" t="s">
        <v>784</v>
      </c>
      <c r="M539" s="4" t="s">
        <v>0</v>
      </c>
      <c r="N539" s="3" t="s">
        <v>0</v>
      </c>
    </row>
    <row r="540" spans="1:14" x14ac:dyDescent="0.3">
      <c r="A540" s="1" t="s">
        <v>587</v>
      </c>
      <c r="B540" s="1" t="s">
        <v>186</v>
      </c>
      <c r="C540" s="2" t="s">
        <v>2</v>
      </c>
      <c r="D540" s="3" t="s">
        <v>802</v>
      </c>
      <c r="E540" s="4" t="s">
        <v>0</v>
      </c>
      <c r="F540" s="4" t="s">
        <v>0</v>
      </c>
      <c r="G540" s="4">
        <v>199990</v>
      </c>
      <c r="H540" s="4">
        <v>161856</v>
      </c>
      <c r="I540" s="4" t="s">
        <v>0</v>
      </c>
      <c r="J540" s="4" t="s">
        <v>0</v>
      </c>
      <c r="K540" s="3" t="s">
        <v>677</v>
      </c>
      <c r="L540" s="3" t="s">
        <v>784</v>
      </c>
      <c r="M540" s="4" t="s">
        <v>0</v>
      </c>
      <c r="N540" s="3" t="s">
        <v>0</v>
      </c>
    </row>
    <row r="541" spans="1:14" x14ac:dyDescent="0.3">
      <c r="A541" s="1" t="s">
        <v>587</v>
      </c>
      <c r="B541" s="1" t="s">
        <v>187</v>
      </c>
      <c r="C541" s="2" t="s">
        <v>22</v>
      </c>
      <c r="D541" s="3" t="s">
        <v>802</v>
      </c>
      <c r="E541" s="4" t="s">
        <v>0</v>
      </c>
      <c r="F541" s="4" t="s">
        <v>0</v>
      </c>
      <c r="G541" s="4">
        <v>199990</v>
      </c>
      <c r="H541" s="4">
        <v>161856</v>
      </c>
      <c r="I541" s="4" t="s">
        <v>0</v>
      </c>
      <c r="J541" s="4" t="s">
        <v>0</v>
      </c>
      <c r="K541" s="3" t="s">
        <v>677</v>
      </c>
      <c r="L541" s="3" t="s">
        <v>784</v>
      </c>
      <c r="M541" s="4" t="s">
        <v>0</v>
      </c>
      <c r="N541" s="3" t="s">
        <v>0</v>
      </c>
    </row>
    <row r="542" spans="1:14" x14ac:dyDescent="0.3">
      <c r="A542" s="1" t="s">
        <v>587</v>
      </c>
      <c r="B542" s="1" t="s">
        <v>188</v>
      </c>
      <c r="C542" s="2" t="s">
        <v>2</v>
      </c>
      <c r="D542" s="3" t="s">
        <v>802</v>
      </c>
      <c r="E542" s="4" t="s">
        <v>0</v>
      </c>
      <c r="F542" s="4" t="s">
        <v>0</v>
      </c>
      <c r="G542" s="4">
        <v>199990</v>
      </c>
      <c r="H542" s="4">
        <v>161856</v>
      </c>
      <c r="I542" s="4" t="s">
        <v>0</v>
      </c>
      <c r="J542" s="4" t="s">
        <v>0</v>
      </c>
      <c r="K542" s="3" t="s">
        <v>677</v>
      </c>
      <c r="L542" s="3" t="s">
        <v>784</v>
      </c>
      <c r="M542" s="4" t="s">
        <v>0</v>
      </c>
      <c r="N542" s="3" t="s">
        <v>0</v>
      </c>
    </row>
    <row r="543" spans="1:14" x14ac:dyDescent="0.3">
      <c r="A543" s="1" t="s">
        <v>573</v>
      </c>
      <c r="B543" s="1" t="s">
        <v>115</v>
      </c>
      <c r="C543" s="2" t="s">
        <v>67</v>
      </c>
      <c r="D543" s="3" t="s">
        <v>801</v>
      </c>
      <c r="E543" s="4" t="s">
        <v>0</v>
      </c>
      <c r="F543" s="4" t="s">
        <v>0</v>
      </c>
      <c r="G543" s="4">
        <v>199990</v>
      </c>
      <c r="H543" s="4">
        <v>161856</v>
      </c>
      <c r="I543" s="4" t="s">
        <v>0</v>
      </c>
      <c r="J543" s="4" t="s">
        <v>0</v>
      </c>
      <c r="K543" s="3" t="s">
        <v>677</v>
      </c>
      <c r="L543" s="3" t="s">
        <v>784</v>
      </c>
      <c r="M543" s="4" t="s">
        <v>0</v>
      </c>
      <c r="N543" s="3" t="s">
        <v>0</v>
      </c>
    </row>
    <row r="544" spans="1:14" x14ac:dyDescent="0.3">
      <c r="A544" s="1" t="s">
        <v>573</v>
      </c>
      <c r="B544" s="1" t="s">
        <v>116</v>
      </c>
      <c r="C544" s="2" t="s">
        <v>16</v>
      </c>
      <c r="D544" s="3" t="s">
        <v>801</v>
      </c>
      <c r="E544" s="4" t="s">
        <v>0</v>
      </c>
      <c r="F544" s="4" t="s">
        <v>0</v>
      </c>
      <c r="G544" s="4">
        <v>199990</v>
      </c>
      <c r="H544" s="4">
        <v>161856</v>
      </c>
      <c r="I544" s="4" t="s">
        <v>0</v>
      </c>
      <c r="J544" s="4" t="s">
        <v>0</v>
      </c>
      <c r="K544" s="3" t="s">
        <v>677</v>
      </c>
      <c r="L544" s="3" t="s">
        <v>784</v>
      </c>
      <c r="M544" s="4" t="s">
        <v>0</v>
      </c>
      <c r="N544" s="3" t="s">
        <v>0</v>
      </c>
    </row>
    <row r="545" spans="1:14" x14ac:dyDescent="0.3">
      <c r="A545" s="1" t="s">
        <v>573</v>
      </c>
      <c r="B545" s="1" t="s">
        <v>117</v>
      </c>
      <c r="C545" s="2" t="s">
        <v>2</v>
      </c>
      <c r="D545" s="3" t="s">
        <v>801</v>
      </c>
      <c r="E545" s="4" t="s">
        <v>0</v>
      </c>
      <c r="F545" s="4" t="s">
        <v>0</v>
      </c>
      <c r="G545" s="4">
        <v>199990</v>
      </c>
      <c r="H545" s="4">
        <v>161856</v>
      </c>
      <c r="I545" s="4" t="s">
        <v>0</v>
      </c>
      <c r="J545" s="4" t="s">
        <v>0</v>
      </c>
      <c r="K545" s="3" t="s">
        <v>677</v>
      </c>
      <c r="L545" s="3" t="s">
        <v>784</v>
      </c>
      <c r="M545" s="4" t="s">
        <v>0</v>
      </c>
      <c r="N545" s="3" t="s">
        <v>0</v>
      </c>
    </row>
    <row r="546" spans="1:14" x14ac:dyDescent="0.3">
      <c r="A546" s="1" t="s">
        <v>573</v>
      </c>
      <c r="B546" s="1" t="s">
        <v>118</v>
      </c>
      <c r="C546" s="2" t="s">
        <v>2</v>
      </c>
      <c r="D546" s="3" t="s">
        <v>801</v>
      </c>
      <c r="E546" s="4" t="s">
        <v>0</v>
      </c>
      <c r="F546" s="4" t="s">
        <v>0</v>
      </c>
      <c r="G546" s="4">
        <v>199990</v>
      </c>
      <c r="H546" s="4">
        <v>161856</v>
      </c>
      <c r="I546" s="4" t="s">
        <v>0</v>
      </c>
      <c r="J546" s="4" t="s">
        <v>0</v>
      </c>
      <c r="K546" s="3" t="s">
        <v>677</v>
      </c>
      <c r="L546" s="3" t="s">
        <v>784</v>
      </c>
      <c r="M546" s="4" t="s">
        <v>0</v>
      </c>
      <c r="N546" s="3" t="s">
        <v>0</v>
      </c>
    </row>
    <row r="547" spans="1:14" x14ac:dyDescent="0.3">
      <c r="A547" s="1" t="s">
        <v>573</v>
      </c>
      <c r="B547" s="1" t="s">
        <v>119</v>
      </c>
      <c r="C547" s="2" t="s">
        <v>2</v>
      </c>
      <c r="D547" s="3" t="s">
        <v>801</v>
      </c>
      <c r="E547" s="4" t="s">
        <v>0</v>
      </c>
      <c r="F547" s="4" t="s">
        <v>0</v>
      </c>
      <c r="G547" s="4">
        <v>199990</v>
      </c>
      <c r="H547" s="4">
        <v>161856</v>
      </c>
      <c r="I547" s="4" t="s">
        <v>0</v>
      </c>
      <c r="J547" s="4" t="s">
        <v>0</v>
      </c>
      <c r="K547" s="3" t="s">
        <v>677</v>
      </c>
      <c r="L547" s="3" t="s">
        <v>784</v>
      </c>
      <c r="M547" s="4" t="s">
        <v>0</v>
      </c>
      <c r="N547" s="3" t="s">
        <v>0</v>
      </c>
    </row>
    <row r="548" spans="1:14" x14ac:dyDescent="0.3">
      <c r="A548" s="1" t="s">
        <v>577</v>
      </c>
      <c r="B548" s="1" t="s">
        <v>130</v>
      </c>
      <c r="C548" s="2" t="s">
        <v>2</v>
      </c>
      <c r="D548" s="3" t="s">
        <v>803</v>
      </c>
      <c r="E548" s="4" t="s">
        <v>0</v>
      </c>
      <c r="F548" s="4" t="s">
        <v>0</v>
      </c>
      <c r="G548" s="4">
        <v>204990</v>
      </c>
      <c r="H548" s="4">
        <v>164166</v>
      </c>
      <c r="I548" s="4" t="s">
        <v>0</v>
      </c>
      <c r="J548" s="4" t="s">
        <v>0</v>
      </c>
      <c r="K548" s="3" t="s">
        <v>677</v>
      </c>
      <c r="L548" s="3" t="s">
        <v>784</v>
      </c>
      <c r="M548" s="4" t="s">
        <v>0</v>
      </c>
      <c r="N548" s="3" t="s">
        <v>0</v>
      </c>
    </row>
    <row r="549" spans="1:14" x14ac:dyDescent="0.3">
      <c r="A549" s="1" t="s">
        <v>577</v>
      </c>
      <c r="B549" s="1" t="s">
        <v>131</v>
      </c>
      <c r="C549" s="2" t="s">
        <v>2</v>
      </c>
      <c r="D549" s="3" t="s">
        <v>803</v>
      </c>
      <c r="E549" s="4" t="s">
        <v>0</v>
      </c>
      <c r="F549" s="4" t="s">
        <v>0</v>
      </c>
      <c r="G549" s="4">
        <v>204990</v>
      </c>
      <c r="H549" s="4">
        <v>164166</v>
      </c>
      <c r="I549" s="4" t="s">
        <v>0</v>
      </c>
      <c r="J549" s="4" t="s">
        <v>0</v>
      </c>
      <c r="K549" s="3" t="s">
        <v>677</v>
      </c>
      <c r="L549" s="3" t="s">
        <v>784</v>
      </c>
      <c r="M549" s="4" t="s">
        <v>0</v>
      </c>
      <c r="N549" s="3" t="s">
        <v>0</v>
      </c>
    </row>
    <row r="550" spans="1:14" x14ac:dyDescent="0.3">
      <c r="A550" s="1" t="s">
        <v>577</v>
      </c>
      <c r="B550" s="1" t="s">
        <v>132</v>
      </c>
      <c r="C550" s="2" t="s">
        <v>2</v>
      </c>
      <c r="D550" s="3" t="s">
        <v>803</v>
      </c>
      <c r="E550" s="4" t="s">
        <v>0</v>
      </c>
      <c r="F550" s="4" t="s">
        <v>0</v>
      </c>
      <c r="G550" s="4">
        <v>204990</v>
      </c>
      <c r="H550" s="4">
        <v>164166</v>
      </c>
      <c r="I550" s="4" t="s">
        <v>0</v>
      </c>
      <c r="J550" s="4" t="s">
        <v>0</v>
      </c>
      <c r="K550" s="3" t="s">
        <v>677</v>
      </c>
      <c r="L550" s="3" t="s">
        <v>784</v>
      </c>
      <c r="M550" s="4" t="s">
        <v>0</v>
      </c>
      <c r="N550" s="3" t="s">
        <v>0</v>
      </c>
    </row>
    <row r="551" spans="1:14" x14ac:dyDescent="0.3">
      <c r="A551" s="1" t="s">
        <v>577</v>
      </c>
      <c r="B551" s="1" t="s">
        <v>133</v>
      </c>
      <c r="C551" s="2" t="s">
        <v>2</v>
      </c>
      <c r="D551" s="3" t="s">
        <v>803</v>
      </c>
      <c r="E551" s="4" t="s">
        <v>0</v>
      </c>
      <c r="F551" s="4" t="s">
        <v>0</v>
      </c>
      <c r="G551" s="4">
        <v>204990</v>
      </c>
      <c r="H551" s="4">
        <v>164166</v>
      </c>
      <c r="I551" s="4" t="s">
        <v>0</v>
      </c>
      <c r="J551" s="4" t="s">
        <v>0</v>
      </c>
      <c r="K551" s="3" t="s">
        <v>677</v>
      </c>
      <c r="L551" s="3" t="s">
        <v>784</v>
      </c>
      <c r="M551" s="4" t="s">
        <v>0</v>
      </c>
      <c r="N551" s="3" t="s">
        <v>0</v>
      </c>
    </row>
    <row r="552" spans="1:14" x14ac:dyDescent="0.3">
      <c r="A552" s="1" t="s">
        <v>577</v>
      </c>
      <c r="B552" s="1" t="s">
        <v>134</v>
      </c>
      <c r="C552" s="2" t="s">
        <v>13</v>
      </c>
      <c r="D552" s="3" t="s">
        <v>803</v>
      </c>
      <c r="E552" s="4" t="s">
        <v>0</v>
      </c>
      <c r="F552" s="4" t="s">
        <v>0</v>
      </c>
      <c r="G552" s="4">
        <v>204990</v>
      </c>
      <c r="H552" s="4">
        <v>164166</v>
      </c>
      <c r="I552" s="4" t="s">
        <v>0</v>
      </c>
      <c r="J552" s="4" t="s">
        <v>0</v>
      </c>
      <c r="K552" s="3" t="s">
        <v>677</v>
      </c>
      <c r="L552" s="3" t="s">
        <v>784</v>
      </c>
      <c r="M552" s="4" t="s">
        <v>0</v>
      </c>
      <c r="N552" s="3" t="s">
        <v>0</v>
      </c>
    </row>
    <row r="553" spans="1:14" x14ac:dyDescent="0.3">
      <c r="A553" s="1" t="s">
        <v>577</v>
      </c>
      <c r="B553" s="1" t="s">
        <v>135</v>
      </c>
      <c r="C553" s="2" t="s">
        <v>2</v>
      </c>
      <c r="D553" s="3" t="s">
        <v>803</v>
      </c>
      <c r="E553" s="4" t="s">
        <v>0</v>
      </c>
      <c r="F553" s="4" t="s">
        <v>0</v>
      </c>
      <c r="G553" s="4">
        <v>204990</v>
      </c>
      <c r="H553" s="4">
        <v>164166</v>
      </c>
      <c r="I553" s="4" t="s">
        <v>0</v>
      </c>
      <c r="J553" s="4" t="s">
        <v>0</v>
      </c>
      <c r="K553" s="3" t="s">
        <v>677</v>
      </c>
      <c r="L553" s="3" t="s">
        <v>784</v>
      </c>
      <c r="M553" s="4" t="s">
        <v>0</v>
      </c>
      <c r="N553" s="3" t="s">
        <v>0</v>
      </c>
    </row>
    <row r="554" spans="1:14" x14ac:dyDescent="0.3">
      <c r="A554" s="1" t="s">
        <v>577</v>
      </c>
      <c r="B554" s="1" t="s">
        <v>136</v>
      </c>
      <c r="C554" s="2" t="s">
        <v>18</v>
      </c>
      <c r="D554" s="3" t="s">
        <v>803</v>
      </c>
      <c r="E554" s="4" t="s">
        <v>0</v>
      </c>
      <c r="F554" s="4" t="s">
        <v>0</v>
      </c>
      <c r="G554" s="4">
        <v>204990</v>
      </c>
      <c r="H554" s="4">
        <v>164166</v>
      </c>
      <c r="I554" s="4" t="s">
        <v>0</v>
      </c>
      <c r="J554" s="4" t="s">
        <v>0</v>
      </c>
      <c r="K554" s="3" t="s">
        <v>677</v>
      </c>
      <c r="L554" s="3" t="s">
        <v>784</v>
      </c>
      <c r="M554" s="4" t="s">
        <v>0</v>
      </c>
      <c r="N554" s="3" t="s">
        <v>0</v>
      </c>
    </row>
    <row r="555" spans="1:14" x14ac:dyDescent="0.3">
      <c r="A555" s="1" t="s">
        <v>577</v>
      </c>
      <c r="B555" s="1" t="s">
        <v>137</v>
      </c>
      <c r="C555" s="2" t="s">
        <v>666</v>
      </c>
      <c r="D555" s="3" t="s">
        <v>803</v>
      </c>
      <c r="E555" s="4" t="s">
        <v>0</v>
      </c>
      <c r="F555" s="4" t="s">
        <v>0</v>
      </c>
      <c r="G555" s="4">
        <v>204990</v>
      </c>
      <c r="H555" s="4">
        <v>164166</v>
      </c>
      <c r="I555" s="4" t="s">
        <v>0</v>
      </c>
      <c r="J555" s="4" t="s">
        <v>0</v>
      </c>
      <c r="K555" s="3" t="s">
        <v>677</v>
      </c>
      <c r="L555" s="3" t="s">
        <v>784</v>
      </c>
      <c r="M555" s="4" t="s">
        <v>0</v>
      </c>
      <c r="N555" s="3" t="s">
        <v>0</v>
      </c>
    </row>
    <row r="556" spans="1:14" x14ac:dyDescent="0.3">
      <c r="A556" s="1" t="s">
        <v>577</v>
      </c>
      <c r="B556" s="1" t="s">
        <v>138</v>
      </c>
      <c r="C556" s="2" t="s">
        <v>2</v>
      </c>
      <c r="D556" s="3" t="s">
        <v>803</v>
      </c>
      <c r="E556" s="4" t="s">
        <v>0</v>
      </c>
      <c r="F556" s="4" t="s">
        <v>0</v>
      </c>
      <c r="G556" s="4">
        <v>204990</v>
      </c>
      <c r="H556" s="4">
        <v>164166</v>
      </c>
      <c r="I556" s="4" t="s">
        <v>0</v>
      </c>
      <c r="J556" s="4" t="s">
        <v>0</v>
      </c>
      <c r="K556" s="3" t="s">
        <v>677</v>
      </c>
      <c r="L556" s="3" t="s">
        <v>784</v>
      </c>
      <c r="M556" s="4" t="s">
        <v>0</v>
      </c>
      <c r="N556" s="3" t="s">
        <v>0</v>
      </c>
    </row>
    <row r="557" spans="1:14" x14ac:dyDescent="0.3">
      <c r="A557" s="1" t="s">
        <v>577</v>
      </c>
      <c r="B557" s="1" t="s">
        <v>139</v>
      </c>
      <c r="C557" s="2" t="s">
        <v>2</v>
      </c>
      <c r="D557" s="3" t="s">
        <v>803</v>
      </c>
      <c r="E557" s="4" t="s">
        <v>0</v>
      </c>
      <c r="F557" s="4" t="s">
        <v>0</v>
      </c>
      <c r="G557" s="4">
        <v>204990</v>
      </c>
      <c r="H557" s="4">
        <v>164166</v>
      </c>
      <c r="I557" s="4" t="s">
        <v>0</v>
      </c>
      <c r="J557" s="4" t="s">
        <v>0</v>
      </c>
      <c r="K557" s="3" t="s">
        <v>677</v>
      </c>
      <c r="L557" s="3" t="s">
        <v>784</v>
      </c>
      <c r="M557" s="4" t="s">
        <v>0</v>
      </c>
      <c r="N557" s="3" t="s">
        <v>0</v>
      </c>
    </row>
    <row r="558" spans="1:14" x14ac:dyDescent="0.3">
      <c r="A558" s="8" t="s">
        <v>940</v>
      </c>
      <c r="B558" s="8" t="s">
        <v>890</v>
      </c>
      <c r="C558" s="8" t="s">
        <v>815</v>
      </c>
      <c r="D558" s="3" t="s">
        <v>806</v>
      </c>
      <c r="G558" s="4">
        <v>215000</v>
      </c>
      <c r="H558" s="4">
        <v>700</v>
      </c>
      <c r="J558" s="4" t="s">
        <v>941</v>
      </c>
      <c r="K558" s="3" t="s">
        <v>677</v>
      </c>
      <c r="L558" s="3" t="s">
        <v>784</v>
      </c>
    </row>
    <row r="559" spans="1:14" x14ac:dyDescent="0.3">
      <c r="A559" s="1" t="s">
        <v>578</v>
      </c>
      <c r="B559" s="1" t="s">
        <v>140</v>
      </c>
      <c r="C559" s="2" t="s">
        <v>2</v>
      </c>
      <c r="D559" s="3" t="s">
        <v>804</v>
      </c>
      <c r="E559" s="4" t="s">
        <v>0</v>
      </c>
      <c r="F559" s="4" t="s">
        <v>0</v>
      </c>
      <c r="G559" s="4">
        <v>249990</v>
      </c>
      <c r="H559" s="4">
        <v>200204</v>
      </c>
      <c r="I559" s="4" t="s">
        <v>0</v>
      </c>
      <c r="J559" s="4" t="s">
        <v>0</v>
      </c>
      <c r="K559" s="3" t="s">
        <v>677</v>
      </c>
      <c r="L559" s="3" t="s">
        <v>784</v>
      </c>
      <c r="M559" s="4" t="s">
        <v>0</v>
      </c>
      <c r="N559" s="3" t="s">
        <v>0</v>
      </c>
    </row>
    <row r="560" spans="1:14" x14ac:dyDescent="0.3">
      <c r="A560" s="1" t="s">
        <v>578</v>
      </c>
      <c r="B560" s="1" t="s">
        <v>141</v>
      </c>
      <c r="C560" s="2" t="s">
        <v>2</v>
      </c>
      <c r="D560" s="3" t="s">
        <v>804</v>
      </c>
      <c r="E560" s="4" t="s">
        <v>0</v>
      </c>
      <c r="F560" s="4" t="s">
        <v>0</v>
      </c>
      <c r="G560" s="4">
        <v>249990</v>
      </c>
      <c r="H560" s="4">
        <v>200204</v>
      </c>
      <c r="I560" s="4" t="s">
        <v>0</v>
      </c>
      <c r="J560" s="4" t="s">
        <v>0</v>
      </c>
      <c r="K560" s="3" t="s">
        <v>677</v>
      </c>
      <c r="L560" s="3" t="s">
        <v>784</v>
      </c>
      <c r="M560" s="4" t="s">
        <v>0</v>
      </c>
      <c r="N560" s="3" t="s">
        <v>0</v>
      </c>
    </row>
    <row r="561" spans="1:14" x14ac:dyDescent="0.3">
      <c r="A561" s="1" t="s">
        <v>578</v>
      </c>
      <c r="B561" s="1" t="s">
        <v>142</v>
      </c>
      <c r="C561" s="2" t="s">
        <v>2</v>
      </c>
      <c r="D561" s="3" t="s">
        <v>804</v>
      </c>
      <c r="E561" s="4" t="s">
        <v>0</v>
      </c>
      <c r="F561" s="4" t="s">
        <v>0</v>
      </c>
      <c r="G561" s="4">
        <v>249990</v>
      </c>
      <c r="H561" s="4">
        <v>200204</v>
      </c>
      <c r="I561" s="4" t="s">
        <v>0</v>
      </c>
      <c r="J561" s="4" t="s">
        <v>0</v>
      </c>
      <c r="K561" s="3" t="s">
        <v>677</v>
      </c>
      <c r="L561" s="3" t="s">
        <v>784</v>
      </c>
      <c r="M561" s="4" t="s">
        <v>0</v>
      </c>
      <c r="N561" s="3" t="s">
        <v>0</v>
      </c>
    </row>
    <row r="562" spans="1:14" x14ac:dyDescent="0.3">
      <c r="A562" s="1" t="s">
        <v>578</v>
      </c>
      <c r="B562" s="1" t="s">
        <v>143</v>
      </c>
      <c r="C562" s="2" t="s">
        <v>2</v>
      </c>
      <c r="D562" s="3" t="s">
        <v>804</v>
      </c>
      <c r="E562" s="4" t="s">
        <v>0</v>
      </c>
      <c r="F562" s="4" t="s">
        <v>0</v>
      </c>
      <c r="G562" s="4">
        <v>249990</v>
      </c>
      <c r="H562" s="4">
        <v>200204</v>
      </c>
      <c r="I562" s="4" t="s">
        <v>0</v>
      </c>
      <c r="J562" s="4" t="s">
        <v>0</v>
      </c>
      <c r="K562" s="3" t="s">
        <v>677</v>
      </c>
      <c r="L562" s="3" t="s">
        <v>784</v>
      </c>
      <c r="M562" s="4" t="s">
        <v>0</v>
      </c>
      <c r="N562" s="3" t="s">
        <v>0</v>
      </c>
    </row>
    <row r="563" spans="1:14" x14ac:dyDescent="0.3">
      <c r="A563" s="1" t="s">
        <v>582</v>
      </c>
      <c r="B563" s="1" t="s">
        <v>158</v>
      </c>
      <c r="C563" s="2" t="s">
        <v>13</v>
      </c>
      <c r="D563" s="3" t="s">
        <v>805</v>
      </c>
      <c r="E563" s="4" t="s">
        <v>0</v>
      </c>
      <c r="F563" s="4" t="s">
        <v>0</v>
      </c>
      <c r="G563" s="4">
        <v>269990</v>
      </c>
      <c r="H563" s="4">
        <v>216221</v>
      </c>
      <c r="I563" s="4" t="s">
        <v>0</v>
      </c>
      <c r="J563" s="4" t="s">
        <v>0</v>
      </c>
      <c r="K563" s="3" t="s">
        <v>677</v>
      </c>
      <c r="L563" s="3" t="s">
        <v>784</v>
      </c>
      <c r="M563" s="4" t="s">
        <v>0</v>
      </c>
      <c r="N563" s="3" t="s">
        <v>0</v>
      </c>
    </row>
    <row r="564" spans="1:14" x14ac:dyDescent="0.3">
      <c r="A564" s="1" t="s">
        <v>582</v>
      </c>
      <c r="B564" s="1" t="s">
        <v>159</v>
      </c>
      <c r="C564" s="2" t="s">
        <v>13</v>
      </c>
      <c r="D564" s="3" t="s">
        <v>805</v>
      </c>
      <c r="E564" s="4" t="s">
        <v>0</v>
      </c>
      <c r="F564" s="4" t="s">
        <v>0</v>
      </c>
      <c r="G564" s="4">
        <v>269990</v>
      </c>
      <c r="H564" s="4">
        <v>216221</v>
      </c>
      <c r="I564" s="4" t="s">
        <v>0</v>
      </c>
      <c r="J564" s="4" t="s">
        <v>0</v>
      </c>
      <c r="K564" s="3" t="s">
        <v>677</v>
      </c>
      <c r="L564" s="3" t="s">
        <v>784</v>
      </c>
      <c r="M564" s="4" t="s">
        <v>0</v>
      </c>
      <c r="N564" s="3" t="s">
        <v>0</v>
      </c>
    </row>
    <row r="565" spans="1:14" x14ac:dyDescent="0.3">
      <c r="A565" s="1" t="s">
        <v>582</v>
      </c>
      <c r="B565" s="1" t="s">
        <v>160</v>
      </c>
      <c r="C565" s="2" t="s">
        <v>13</v>
      </c>
      <c r="D565" s="3" t="s">
        <v>805</v>
      </c>
      <c r="E565" s="4" t="s">
        <v>0</v>
      </c>
      <c r="F565" s="4" t="s">
        <v>0</v>
      </c>
      <c r="G565" s="4">
        <v>269990</v>
      </c>
      <c r="H565" s="4">
        <v>216221</v>
      </c>
      <c r="I565" s="4" t="s">
        <v>0</v>
      </c>
      <c r="J565" s="4" t="s">
        <v>0</v>
      </c>
      <c r="K565" s="3" t="s">
        <v>677</v>
      </c>
      <c r="L565" s="3" t="s">
        <v>784</v>
      </c>
      <c r="M565" s="4" t="s">
        <v>0</v>
      </c>
      <c r="N565" s="3" t="s">
        <v>0</v>
      </c>
    </row>
    <row r="566" spans="1:14" x14ac:dyDescent="0.3">
      <c r="A566" s="1" t="s">
        <v>582</v>
      </c>
      <c r="B566" s="1" t="s">
        <v>161</v>
      </c>
      <c r="C566" s="2" t="s">
        <v>13</v>
      </c>
      <c r="D566" s="3" t="s">
        <v>805</v>
      </c>
      <c r="E566" s="4" t="s">
        <v>0</v>
      </c>
      <c r="F566" s="4" t="s">
        <v>0</v>
      </c>
      <c r="G566" s="4">
        <v>269990</v>
      </c>
      <c r="H566" s="4">
        <v>216221</v>
      </c>
      <c r="I566" s="4" t="s">
        <v>0</v>
      </c>
      <c r="J566" s="4" t="s">
        <v>0</v>
      </c>
      <c r="K566" s="3" t="s">
        <v>677</v>
      </c>
      <c r="L566" s="3" t="s">
        <v>784</v>
      </c>
      <c r="M566" s="4" t="s">
        <v>0</v>
      </c>
      <c r="N566" s="3" t="s">
        <v>0</v>
      </c>
    </row>
    <row r="567" spans="1:14" x14ac:dyDescent="0.3">
      <c r="A567" s="1" t="s">
        <v>582</v>
      </c>
      <c r="B567" s="1" t="s">
        <v>162</v>
      </c>
      <c r="C567" s="2" t="s">
        <v>13</v>
      </c>
      <c r="D567" s="3" t="s">
        <v>805</v>
      </c>
      <c r="E567" s="4" t="s">
        <v>0</v>
      </c>
      <c r="F567" s="4" t="s">
        <v>0</v>
      </c>
      <c r="G567" s="4">
        <v>269990</v>
      </c>
      <c r="H567" s="4">
        <v>216221</v>
      </c>
      <c r="I567" s="4" t="s">
        <v>0</v>
      </c>
      <c r="J567" s="4" t="s">
        <v>0</v>
      </c>
      <c r="K567" s="3" t="s">
        <v>677</v>
      </c>
      <c r="L567" s="3" t="s">
        <v>784</v>
      </c>
      <c r="M567" s="4" t="s">
        <v>0</v>
      </c>
      <c r="N567" s="3" t="s">
        <v>0</v>
      </c>
    </row>
    <row r="568" spans="1:14" x14ac:dyDescent="0.3">
      <c r="A568" s="1" t="s">
        <v>582</v>
      </c>
      <c r="B568" s="1" t="s">
        <v>163</v>
      </c>
      <c r="C568" s="2" t="s">
        <v>13</v>
      </c>
      <c r="D568" s="3" t="s">
        <v>805</v>
      </c>
      <c r="E568" s="4" t="s">
        <v>0</v>
      </c>
      <c r="F568" s="4" t="s">
        <v>0</v>
      </c>
      <c r="G568" s="4">
        <v>269990</v>
      </c>
      <c r="H568" s="4">
        <v>216221</v>
      </c>
      <c r="I568" s="4" t="s">
        <v>0</v>
      </c>
      <c r="J568" s="4" t="s">
        <v>0</v>
      </c>
      <c r="K568" s="3" t="s">
        <v>677</v>
      </c>
      <c r="L568" s="3" t="s">
        <v>784</v>
      </c>
      <c r="M568" s="4" t="s">
        <v>0</v>
      </c>
      <c r="N568" s="3" t="s">
        <v>0</v>
      </c>
    </row>
    <row r="569" spans="1:14" x14ac:dyDescent="0.3">
      <c r="A569" s="1" t="s">
        <v>582</v>
      </c>
      <c r="B569" s="1" t="s">
        <v>164</v>
      </c>
      <c r="C569" s="2" t="s">
        <v>13</v>
      </c>
      <c r="D569" s="3" t="s">
        <v>805</v>
      </c>
      <c r="E569" s="4" t="s">
        <v>0</v>
      </c>
      <c r="F569" s="4" t="s">
        <v>0</v>
      </c>
      <c r="G569" s="4">
        <v>269990</v>
      </c>
      <c r="H569" s="4">
        <v>216221</v>
      </c>
      <c r="I569" s="4" t="s">
        <v>0</v>
      </c>
      <c r="J569" s="4" t="s">
        <v>0</v>
      </c>
      <c r="K569" s="3" t="s">
        <v>677</v>
      </c>
      <c r="L569" s="3" t="s">
        <v>784</v>
      </c>
      <c r="M569" s="4" t="s">
        <v>0</v>
      </c>
      <c r="N569" s="3" t="s">
        <v>0</v>
      </c>
    </row>
    <row r="570" spans="1:14" x14ac:dyDescent="0.3">
      <c r="A570" s="1" t="s">
        <v>582</v>
      </c>
      <c r="B570" s="1" t="s">
        <v>165</v>
      </c>
      <c r="C570" s="2" t="s">
        <v>13</v>
      </c>
      <c r="D570" s="3" t="s">
        <v>805</v>
      </c>
      <c r="E570" s="4" t="s">
        <v>0</v>
      </c>
      <c r="F570" s="4" t="s">
        <v>0</v>
      </c>
      <c r="G570" s="4">
        <v>269990</v>
      </c>
      <c r="H570" s="4">
        <v>216221</v>
      </c>
      <c r="I570" s="4" t="s">
        <v>0</v>
      </c>
      <c r="J570" s="4" t="s">
        <v>0</v>
      </c>
      <c r="K570" s="3" t="s">
        <v>677</v>
      </c>
      <c r="L570" s="3" t="s">
        <v>784</v>
      </c>
      <c r="M570" s="4" t="s">
        <v>0</v>
      </c>
      <c r="N570" s="3" t="s">
        <v>0</v>
      </c>
    </row>
    <row r="571" spans="1:14" x14ac:dyDescent="0.3">
      <c r="A571" s="1" t="s">
        <v>582</v>
      </c>
      <c r="B571" s="1" t="s">
        <v>166</v>
      </c>
      <c r="C571" s="2" t="s">
        <v>13</v>
      </c>
      <c r="D571" s="3" t="s">
        <v>805</v>
      </c>
      <c r="E571" s="4" t="s">
        <v>0</v>
      </c>
      <c r="F571" s="4" t="s">
        <v>0</v>
      </c>
      <c r="G571" s="4">
        <v>269990</v>
      </c>
      <c r="H571" s="4">
        <v>216221</v>
      </c>
      <c r="I571" s="4" t="s">
        <v>0</v>
      </c>
      <c r="J571" s="4" t="s">
        <v>0</v>
      </c>
      <c r="K571" s="3" t="s">
        <v>677</v>
      </c>
      <c r="L571" s="3" t="s">
        <v>784</v>
      </c>
      <c r="M571" s="4" t="s">
        <v>0</v>
      </c>
      <c r="N571" s="3" t="s">
        <v>0</v>
      </c>
    </row>
    <row r="572" spans="1:14" x14ac:dyDescent="0.3">
      <c r="A572" s="1" t="s">
        <v>582</v>
      </c>
      <c r="B572" s="1" t="s">
        <v>167</v>
      </c>
      <c r="C572" s="2" t="s">
        <v>13</v>
      </c>
      <c r="D572" s="3" t="s">
        <v>805</v>
      </c>
      <c r="E572" s="4" t="s">
        <v>0</v>
      </c>
      <c r="F572" s="4" t="s">
        <v>0</v>
      </c>
      <c r="G572" s="4">
        <v>269990</v>
      </c>
      <c r="H572" s="4">
        <v>216221</v>
      </c>
      <c r="I572" s="4" t="s">
        <v>0</v>
      </c>
      <c r="J572" s="4" t="s">
        <v>0</v>
      </c>
      <c r="K572" s="3" t="s">
        <v>677</v>
      </c>
      <c r="L572" s="3" t="s">
        <v>784</v>
      </c>
      <c r="M572" s="4" t="s">
        <v>0</v>
      </c>
      <c r="N572" s="3" t="s">
        <v>0</v>
      </c>
    </row>
    <row r="573" spans="1:14" x14ac:dyDescent="0.3">
      <c r="A573" s="1" t="s">
        <v>579</v>
      </c>
      <c r="B573" s="1" t="s">
        <v>144</v>
      </c>
      <c r="C573" s="2" t="s">
        <v>18</v>
      </c>
      <c r="D573" s="3" t="s">
        <v>806</v>
      </c>
      <c r="E573" s="4" t="s">
        <v>0</v>
      </c>
      <c r="F573" s="4" t="s">
        <v>0</v>
      </c>
      <c r="G573" s="4">
        <v>275990</v>
      </c>
      <c r="H573" s="4">
        <v>221026</v>
      </c>
      <c r="I573" s="4" t="s">
        <v>0</v>
      </c>
      <c r="J573" s="4" t="s">
        <v>0</v>
      </c>
      <c r="K573" s="3" t="s">
        <v>677</v>
      </c>
      <c r="L573" s="3" t="s">
        <v>784</v>
      </c>
      <c r="M573" s="4">
        <v>2000</v>
      </c>
      <c r="N573" s="3" t="s">
        <v>942</v>
      </c>
    </row>
    <row r="574" spans="1:14" x14ac:dyDescent="0.3">
      <c r="A574" s="1" t="s">
        <v>579</v>
      </c>
      <c r="B574" s="1" t="s">
        <v>145</v>
      </c>
      <c r="C574" s="2" t="s">
        <v>51</v>
      </c>
      <c r="D574" s="3" t="s">
        <v>806</v>
      </c>
      <c r="E574" s="4" t="s">
        <v>0</v>
      </c>
      <c r="F574" s="4" t="s">
        <v>0</v>
      </c>
      <c r="G574" s="4">
        <v>275990</v>
      </c>
      <c r="H574" s="4">
        <v>221026</v>
      </c>
      <c r="I574" s="4" t="s">
        <v>0</v>
      </c>
      <c r="J574" s="4" t="s">
        <v>0</v>
      </c>
      <c r="K574" s="3" t="s">
        <v>677</v>
      </c>
      <c r="L574" s="3" t="s">
        <v>784</v>
      </c>
      <c r="M574" s="4">
        <v>2000</v>
      </c>
      <c r="N574" s="3" t="s">
        <v>942</v>
      </c>
    </row>
    <row r="575" spans="1:14" x14ac:dyDescent="0.3">
      <c r="A575" s="1" t="s">
        <v>579</v>
      </c>
      <c r="B575" s="1" t="s">
        <v>146</v>
      </c>
      <c r="C575" s="2" t="s">
        <v>31</v>
      </c>
      <c r="D575" s="3" t="s">
        <v>806</v>
      </c>
      <c r="E575" s="4" t="s">
        <v>0</v>
      </c>
      <c r="F575" s="4" t="s">
        <v>0</v>
      </c>
      <c r="G575" s="4">
        <v>275990</v>
      </c>
      <c r="H575" s="4">
        <v>221026</v>
      </c>
      <c r="I575" s="4" t="s">
        <v>0</v>
      </c>
      <c r="J575" s="4" t="s">
        <v>0</v>
      </c>
      <c r="K575" s="3" t="s">
        <v>677</v>
      </c>
      <c r="L575" s="3" t="s">
        <v>784</v>
      </c>
      <c r="M575" s="4" t="s">
        <v>0</v>
      </c>
      <c r="N575" s="3" t="s">
        <v>0</v>
      </c>
    </row>
    <row r="576" spans="1:14" x14ac:dyDescent="0.3">
      <c r="A576" s="1" t="s">
        <v>579</v>
      </c>
      <c r="B576" s="1" t="s">
        <v>147</v>
      </c>
      <c r="C576" s="2" t="s">
        <v>666</v>
      </c>
      <c r="D576" s="3" t="s">
        <v>806</v>
      </c>
      <c r="E576" s="4" t="s">
        <v>0</v>
      </c>
      <c r="F576" s="4" t="s">
        <v>0</v>
      </c>
      <c r="G576" s="4">
        <v>275990</v>
      </c>
      <c r="H576" s="4">
        <v>221026</v>
      </c>
      <c r="I576" s="4" t="s">
        <v>0</v>
      </c>
      <c r="J576" s="4" t="s">
        <v>0</v>
      </c>
      <c r="K576" s="3" t="s">
        <v>677</v>
      </c>
      <c r="L576" s="3" t="s">
        <v>784</v>
      </c>
      <c r="M576" s="4">
        <v>2000</v>
      </c>
      <c r="N576" s="3" t="s">
        <v>942</v>
      </c>
    </row>
    <row r="577" spans="1:14" x14ac:dyDescent="0.3">
      <c r="A577" s="1" t="s">
        <v>579</v>
      </c>
      <c r="B577" s="1" t="s">
        <v>148</v>
      </c>
      <c r="C577" s="2" t="s">
        <v>13</v>
      </c>
      <c r="D577" s="3" t="s">
        <v>806</v>
      </c>
      <c r="E577" s="4" t="s">
        <v>0</v>
      </c>
      <c r="F577" s="4" t="s">
        <v>0</v>
      </c>
      <c r="G577" s="4">
        <v>275990</v>
      </c>
      <c r="H577" s="4">
        <v>221026</v>
      </c>
      <c r="I577" s="4" t="s">
        <v>0</v>
      </c>
      <c r="J577" s="4" t="s">
        <v>0</v>
      </c>
      <c r="K577" s="3" t="s">
        <v>677</v>
      </c>
      <c r="L577" s="3" t="s">
        <v>784</v>
      </c>
      <c r="M577" s="4">
        <v>2000</v>
      </c>
      <c r="N577" s="3" t="s">
        <v>942</v>
      </c>
    </row>
    <row r="578" spans="1:14" x14ac:dyDescent="0.3">
      <c r="A578" s="1" t="s">
        <v>579</v>
      </c>
      <c r="B578" s="1" t="s">
        <v>149</v>
      </c>
      <c r="C578" s="2" t="s">
        <v>16</v>
      </c>
      <c r="D578" s="3" t="s">
        <v>806</v>
      </c>
      <c r="E578" s="4" t="s">
        <v>0</v>
      </c>
      <c r="F578" s="4" t="s">
        <v>0</v>
      </c>
      <c r="G578" s="4">
        <v>275990</v>
      </c>
      <c r="H578" s="4">
        <v>221026</v>
      </c>
      <c r="I578" s="4" t="s">
        <v>0</v>
      </c>
      <c r="J578" s="4" t="s">
        <v>0</v>
      </c>
      <c r="K578" s="3" t="s">
        <v>677</v>
      </c>
      <c r="L578" s="3" t="s">
        <v>784</v>
      </c>
      <c r="M578" s="4">
        <v>2000</v>
      </c>
      <c r="N578" s="3" t="s">
        <v>942</v>
      </c>
    </row>
    <row r="579" spans="1:14" x14ac:dyDescent="0.3">
      <c r="A579" s="1" t="s">
        <v>579</v>
      </c>
      <c r="B579" s="1" t="s">
        <v>150</v>
      </c>
      <c r="C579" s="2" t="s">
        <v>2</v>
      </c>
      <c r="D579" s="3" t="s">
        <v>806</v>
      </c>
      <c r="E579" s="4" t="s">
        <v>0</v>
      </c>
      <c r="F579" s="4" t="s">
        <v>0</v>
      </c>
      <c r="G579" s="4">
        <v>275990</v>
      </c>
      <c r="H579" s="4">
        <v>221026</v>
      </c>
      <c r="I579" s="4" t="s">
        <v>0</v>
      </c>
      <c r="J579" s="4" t="s">
        <v>0</v>
      </c>
      <c r="K579" s="3" t="s">
        <v>677</v>
      </c>
      <c r="L579" s="3" t="s">
        <v>784</v>
      </c>
      <c r="M579" s="4" t="s">
        <v>0</v>
      </c>
      <c r="N579" s="3" t="s">
        <v>0</v>
      </c>
    </row>
    <row r="580" spans="1:14" x14ac:dyDescent="0.3">
      <c r="A580" s="1" t="s">
        <v>579</v>
      </c>
      <c r="B580" s="1" t="s">
        <v>151</v>
      </c>
      <c r="C580" s="2" t="s">
        <v>67</v>
      </c>
      <c r="D580" s="3" t="s">
        <v>806</v>
      </c>
      <c r="E580" s="4" t="s">
        <v>0</v>
      </c>
      <c r="F580" s="4" t="s">
        <v>0</v>
      </c>
      <c r="G580" s="4">
        <v>275990</v>
      </c>
      <c r="H580" s="4">
        <v>221026</v>
      </c>
      <c r="I580" s="4" t="s">
        <v>0</v>
      </c>
      <c r="J580" s="4" t="s">
        <v>0</v>
      </c>
      <c r="K580" s="3" t="s">
        <v>677</v>
      </c>
      <c r="L580" s="3" t="s">
        <v>784</v>
      </c>
      <c r="M580" s="4" t="s">
        <v>0</v>
      </c>
      <c r="N580" s="3" t="s">
        <v>0</v>
      </c>
    </row>
    <row r="581" spans="1:14" x14ac:dyDescent="0.3">
      <c r="A581" s="1" t="s">
        <v>579</v>
      </c>
      <c r="B581" s="1" t="s">
        <v>152</v>
      </c>
      <c r="C581" s="2" t="s">
        <v>11</v>
      </c>
      <c r="D581" s="3" t="s">
        <v>806</v>
      </c>
      <c r="E581" s="4" t="s">
        <v>0</v>
      </c>
      <c r="F581" s="4" t="s">
        <v>0</v>
      </c>
      <c r="G581" s="4">
        <v>275990</v>
      </c>
      <c r="H581" s="4">
        <v>221026</v>
      </c>
      <c r="I581" s="4" t="s">
        <v>0</v>
      </c>
      <c r="J581" s="4" t="s">
        <v>0</v>
      </c>
      <c r="K581" s="3" t="s">
        <v>677</v>
      </c>
      <c r="L581" s="3" t="s">
        <v>784</v>
      </c>
      <c r="M581" s="4" t="s">
        <v>0</v>
      </c>
      <c r="N581" s="3" t="s">
        <v>0</v>
      </c>
    </row>
    <row r="582" spans="1:14" x14ac:dyDescent="0.3">
      <c r="A582" s="1" t="s">
        <v>579</v>
      </c>
      <c r="B582" s="1" t="s">
        <v>153</v>
      </c>
      <c r="C582" s="2" t="s">
        <v>18</v>
      </c>
      <c r="D582" s="3" t="s">
        <v>806</v>
      </c>
      <c r="E582" s="4" t="s">
        <v>0</v>
      </c>
      <c r="F582" s="4" t="s">
        <v>0</v>
      </c>
      <c r="G582" s="4">
        <v>275990</v>
      </c>
      <c r="H582" s="4">
        <v>221026</v>
      </c>
      <c r="I582" s="4" t="s">
        <v>0</v>
      </c>
      <c r="J582" s="4" t="s">
        <v>0</v>
      </c>
      <c r="K582" s="3" t="s">
        <v>677</v>
      </c>
      <c r="L582" s="3" t="s">
        <v>784</v>
      </c>
      <c r="M582" s="4" t="s">
        <v>0</v>
      </c>
      <c r="N582" s="3" t="s">
        <v>0</v>
      </c>
    </row>
    <row r="583" spans="1:14" x14ac:dyDescent="0.3">
      <c r="A583" s="1" t="s">
        <v>579</v>
      </c>
      <c r="B583" s="1" t="s">
        <v>154</v>
      </c>
      <c r="C583" s="2" t="s">
        <v>666</v>
      </c>
      <c r="D583" s="3" t="s">
        <v>806</v>
      </c>
      <c r="E583" s="4" t="s">
        <v>0</v>
      </c>
      <c r="F583" s="4" t="s">
        <v>0</v>
      </c>
      <c r="G583" s="4">
        <v>275990</v>
      </c>
      <c r="H583" s="4">
        <v>221026</v>
      </c>
      <c r="I583" s="4" t="s">
        <v>0</v>
      </c>
      <c r="J583" s="4" t="s">
        <v>0</v>
      </c>
      <c r="K583" s="3" t="s">
        <v>677</v>
      </c>
      <c r="L583" s="3" t="s">
        <v>784</v>
      </c>
      <c r="M583" s="4" t="s">
        <v>0</v>
      </c>
      <c r="N583" s="3" t="s">
        <v>0</v>
      </c>
    </row>
    <row r="584" spans="1:14" x14ac:dyDescent="0.3">
      <c r="A584" s="1" t="s">
        <v>590</v>
      </c>
      <c r="B584" s="1" t="s">
        <v>191</v>
      </c>
      <c r="C584" s="2" t="s">
        <v>2</v>
      </c>
      <c r="D584" s="3" t="s">
        <v>808</v>
      </c>
      <c r="E584" s="4" t="s">
        <v>0</v>
      </c>
      <c r="F584" s="4" t="s">
        <v>0</v>
      </c>
      <c r="G584" s="4">
        <v>279990</v>
      </c>
      <c r="H584" s="4">
        <v>224229</v>
      </c>
      <c r="I584" s="4" t="s">
        <v>0</v>
      </c>
      <c r="J584" s="4" t="s">
        <v>0</v>
      </c>
      <c r="K584" s="3" t="s">
        <v>677</v>
      </c>
      <c r="L584" s="3" t="s">
        <v>784</v>
      </c>
      <c r="M584" s="4" t="s">
        <v>0</v>
      </c>
      <c r="N584" s="3" t="s">
        <v>0</v>
      </c>
    </row>
    <row r="585" spans="1:14" x14ac:dyDescent="0.3">
      <c r="A585" s="1" t="s">
        <v>590</v>
      </c>
      <c r="B585" s="1" t="s">
        <v>192</v>
      </c>
      <c r="C585" s="2" t="s">
        <v>6</v>
      </c>
      <c r="D585" s="3" t="s">
        <v>808</v>
      </c>
      <c r="E585" s="4" t="s">
        <v>0</v>
      </c>
      <c r="F585" s="4" t="s">
        <v>0</v>
      </c>
      <c r="G585" s="4">
        <v>279990</v>
      </c>
      <c r="H585" s="4">
        <v>224229</v>
      </c>
      <c r="I585" s="4" t="s">
        <v>0</v>
      </c>
      <c r="J585" s="4" t="s">
        <v>0</v>
      </c>
      <c r="K585" s="3" t="s">
        <v>677</v>
      </c>
      <c r="L585" s="3" t="s">
        <v>784</v>
      </c>
      <c r="M585" s="4" t="s">
        <v>0</v>
      </c>
      <c r="N585" s="3" t="s">
        <v>0</v>
      </c>
    </row>
    <row r="586" spans="1:14" x14ac:dyDescent="0.3">
      <c r="A586" s="1" t="s">
        <v>588</v>
      </c>
      <c r="B586" s="1" t="s">
        <v>189</v>
      </c>
      <c r="C586" s="2" t="s">
        <v>18</v>
      </c>
      <c r="D586" s="3" t="s">
        <v>807</v>
      </c>
      <c r="E586" s="4" t="s">
        <v>0</v>
      </c>
      <c r="F586" s="4" t="s">
        <v>0</v>
      </c>
      <c r="G586" s="4">
        <v>279990</v>
      </c>
      <c r="H586" s="4">
        <v>224229</v>
      </c>
      <c r="I586" s="4" t="s">
        <v>0</v>
      </c>
      <c r="J586" s="4" t="s">
        <v>0</v>
      </c>
      <c r="K586" s="3" t="s">
        <v>677</v>
      </c>
      <c r="L586" s="3" t="s">
        <v>784</v>
      </c>
      <c r="M586" s="4" t="s">
        <v>0</v>
      </c>
      <c r="N586" s="3" t="s">
        <v>0</v>
      </c>
    </row>
    <row r="587" spans="1:14" x14ac:dyDescent="0.3">
      <c r="A587" s="1" t="s">
        <v>580</v>
      </c>
      <c r="B587" s="1" t="s">
        <v>155</v>
      </c>
      <c r="C587" s="2" t="s">
        <v>666</v>
      </c>
      <c r="D587" s="3" t="s">
        <v>809</v>
      </c>
      <c r="E587" s="4" t="s">
        <v>0</v>
      </c>
      <c r="F587" s="4" t="s">
        <v>0</v>
      </c>
      <c r="G587" s="4">
        <v>339990</v>
      </c>
      <c r="H587" s="4">
        <v>272280</v>
      </c>
      <c r="I587" s="4" t="s">
        <v>0</v>
      </c>
      <c r="J587" s="4" t="s">
        <v>0</v>
      </c>
      <c r="K587" s="3" t="s">
        <v>677</v>
      </c>
      <c r="L587" s="3" t="s">
        <v>784</v>
      </c>
      <c r="M587" s="4" t="s">
        <v>0</v>
      </c>
      <c r="N587" s="3" t="s">
        <v>0</v>
      </c>
    </row>
    <row r="588" spans="1:14" x14ac:dyDescent="0.3">
      <c r="A588" s="1" t="s">
        <v>593</v>
      </c>
      <c r="B588" s="1" t="s">
        <v>195</v>
      </c>
      <c r="C588" s="2" t="s">
        <v>666</v>
      </c>
      <c r="D588" s="3" t="s">
        <v>811</v>
      </c>
      <c r="E588" s="4" t="s">
        <v>0</v>
      </c>
      <c r="F588" s="4" t="s">
        <v>0</v>
      </c>
      <c r="G588" s="4">
        <v>399990</v>
      </c>
      <c r="H588" s="4">
        <v>320331</v>
      </c>
      <c r="I588" s="4" t="s">
        <v>0</v>
      </c>
      <c r="J588" s="4" t="s">
        <v>0</v>
      </c>
      <c r="K588" s="3" t="s">
        <v>677</v>
      </c>
      <c r="L588" s="3" t="s">
        <v>784</v>
      </c>
      <c r="M588" s="4" t="s">
        <v>0</v>
      </c>
      <c r="N588" s="3" t="s">
        <v>0</v>
      </c>
    </row>
    <row r="589" spans="1:14" x14ac:dyDescent="0.3">
      <c r="A589" s="1" t="s">
        <v>593</v>
      </c>
      <c r="B589" s="1" t="s">
        <v>196</v>
      </c>
      <c r="C589" s="2" t="s">
        <v>2</v>
      </c>
      <c r="D589" s="3" t="s">
        <v>811</v>
      </c>
      <c r="E589" s="4" t="s">
        <v>0</v>
      </c>
      <c r="F589" s="4" t="s">
        <v>0</v>
      </c>
      <c r="G589" s="4">
        <v>399990</v>
      </c>
      <c r="H589" s="4">
        <v>320331</v>
      </c>
      <c r="I589" s="4" t="s">
        <v>0</v>
      </c>
      <c r="J589" s="4" t="s">
        <v>0</v>
      </c>
      <c r="K589" s="3" t="s">
        <v>677</v>
      </c>
      <c r="L589" s="3" t="s">
        <v>784</v>
      </c>
      <c r="M589" s="4" t="s">
        <v>0</v>
      </c>
      <c r="N589" s="3" t="s">
        <v>0</v>
      </c>
    </row>
    <row r="590" spans="1:14" x14ac:dyDescent="0.3">
      <c r="A590" s="1" t="s">
        <v>581</v>
      </c>
      <c r="B590" s="1" t="s">
        <v>156</v>
      </c>
      <c r="C590" s="2" t="s">
        <v>2</v>
      </c>
      <c r="D590" s="3" t="s">
        <v>810</v>
      </c>
      <c r="E590" s="4" t="s">
        <v>0</v>
      </c>
      <c r="F590" s="4" t="s">
        <v>0</v>
      </c>
      <c r="G590" s="4">
        <v>399990</v>
      </c>
      <c r="H590" s="4">
        <v>320331</v>
      </c>
      <c r="I590" s="4" t="s">
        <v>0</v>
      </c>
      <c r="J590" s="4" t="s">
        <v>0</v>
      </c>
      <c r="K590" s="3" t="s">
        <v>677</v>
      </c>
      <c r="L590" s="3" t="s">
        <v>784</v>
      </c>
      <c r="M590" s="4" t="s">
        <v>0</v>
      </c>
      <c r="N590" s="3" t="s">
        <v>0</v>
      </c>
    </row>
    <row r="591" spans="1:14" x14ac:dyDescent="0.3">
      <c r="A591" s="1" t="s">
        <v>581</v>
      </c>
      <c r="B591" s="1" t="s">
        <v>157</v>
      </c>
      <c r="C591" s="2" t="s">
        <v>4</v>
      </c>
      <c r="D591" s="3" t="s">
        <v>810</v>
      </c>
      <c r="E591" s="4" t="s">
        <v>0</v>
      </c>
      <c r="F591" s="4" t="s">
        <v>0</v>
      </c>
      <c r="G591" s="4">
        <v>399990</v>
      </c>
      <c r="H591" s="4">
        <v>320331</v>
      </c>
      <c r="I591" s="4" t="s">
        <v>0</v>
      </c>
      <c r="J591" s="4" t="s">
        <v>0</v>
      </c>
      <c r="K591" s="3" t="s">
        <v>677</v>
      </c>
      <c r="L591" s="3" t="s">
        <v>784</v>
      </c>
      <c r="M591" s="4" t="s">
        <v>0</v>
      </c>
      <c r="N591" s="3" t="s">
        <v>0</v>
      </c>
    </row>
    <row r="592" spans="1:14" x14ac:dyDescent="0.3">
      <c r="A592" s="1" t="s">
        <v>583</v>
      </c>
      <c r="B592" s="1" t="s">
        <v>168</v>
      </c>
      <c r="C592" s="2" t="s">
        <v>4</v>
      </c>
      <c r="D592" s="3" t="s">
        <v>812</v>
      </c>
      <c r="E592" s="4" t="s">
        <v>0</v>
      </c>
      <c r="F592" s="4" t="s">
        <v>0</v>
      </c>
      <c r="G592" s="4">
        <v>479990</v>
      </c>
      <c r="H592" s="4">
        <v>384399</v>
      </c>
      <c r="I592" s="4" t="s">
        <v>0</v>
      </c>
      <c r="J592" s="4" t="s">
        <v>0</v>
      </c>
      <c r="K592" s="3" t="s">
        <v>677</v>
      </c>
      <c r="L592" s="3" t="s">
        <v>784</v>
      </c>
      <c r="M592" s="4" t="s">
        <v>0</v>
      </c>
      <c r="N592" s="3" t="s">
        <v>0</v>
      </c>
    </row>
    <row r="593" spans="1:14" x14ac:dyDescent="0.3">
      <c r="A593" s="1" t="s">
        <v>583</v>
      </c>
      <c r="B593" s="1" t="s">
        <v>169</v>
      </c>
      <c r="C593" s="2" t="s">
        <v>4</v>
      </c>
      <c r="D593" s="3" t="s">
        <v>812</v>
      </c>
      <c r="E593" s="4" t="s">
        <v>0</v>
      </c>
      <c r="F593" s="4" t="s">
        <v>0</v>
      </c>
      <c r="G593" s="4">
        <v>479990</v>
      </c>
      <c r="H593" s="4">
        <v>384399</v>
      </c>
      <c r="I593" s="4" t="s">
        <v>0</v>
      </c>
      <c r="J593" s="4" t="s">
        <v>0</v>
      </c>
      <c r="K593" s="3" t="s">
        <v>677</v>
      </c>
      <c r="L593" s="3" t="s">
        <v>784</v>
      </c>
      <c r="M593" s="4" t="s">
        <v>0</v>
      </c>
      <c r="N593" s="3" t="s">
        <v>0</v>
      </c>
    </row>
    <row r="594" spans="1:14" x14ac:dyDescent="0.3">
      <c r="A594" s="1" t="s">
        <v>584</v>
      </c>
      <c r="B594" s="1" t="s">
        <v>170</v>
      </c>
      <c r="C594" s="2" t="s">
        <v>2</v>
      </c>
      <c r="D594" s="3" t="s">
        <v>0</v>
      </c>
      <c r="I594" s="4" t="s">
        <v>0</v>
      </c>
      <c r="J594" s="4" t="s">
        <v>0</v>
      </c>
      <c r="K594" s="3" t="s">
        <v>677</v>
      </c>
      <c r="L594" s="3" t="s">
        <v>784</v>
      </c>
      <c r="M594" s="4" t="s">
        <v>0</v>
      </c>
      <c r="N594" s="3" t="s">
        <v>0</v>
      </c>
    </row>
    <row r="595" spans="1:14" x14ac:dyDescent="0.3">
      <c r="A595" s="1" t="s">
        <v>668</v>
      </c>
      <c r="B595" s="1" t="s">
        <v>503</v>
      </c>
      <c r="C595" s="2" t="s">
        <v>2</v>
      </c>
      <c r="D595" s="3" t="s">
        <v>0</v>
      </c>
      <c r="I595" s="4" t="s">
        <v>0</v>
      </c>
      <c r="J595" s="4" t="s">
        <v>0</v>
      </c>
      <c r="K595" s="3" t="s">
        <v>677</v>
      </c>
      <c r="L595" s="3" t="s">
        <v>784</v>
      </c>
      <c r="M595" s="4" t="s">
        <v>0</v>
      </c>
      <c r="N595" s="3" t="s">
        <v>0</v>
      </c>
    </row>
  </sheetData>
  <autoFilter ref="A1:N521" xr:uid="{00000000-0001-0000-0000-000000000000}">
    <sortState xmlns:xlrd2="http://schemas.microsoft.com/office/spreadsheetml/2017/richdata2" ref="A2:N595">
      <sortCondition ref="G1:G521"/>
    </sortState>
  </autoFilter>
  <pageMargins left="0.7" right="0.7" top="0.75" bottom="0.75" header="0.3" footer="0.3"/>
  <pageSetup paperSize="9" orientation="portrait" verticalDpi="0" r:id="rId1"/>
  <ignoredErrors>
    <ignoredError sqref="A1:C1 E1 H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accounts1</dc:creator>
  <cp:lastModifiedBy>Hari Priya Technologies</cp:lastModifiedBy>
  <dcterms:created xsi:type="dcterms:W3CDTF">2026-03-02T12:22:22Z</dcterms:created>
  <dcterms:modified xsi:type="dcterms:W3CDTF">2026-03-02T14:03:52Z</dcterms:modified>
</cp:coreProperties>
</file>